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Denne_projektmappe" defaultThemeVersion="202300"/>
  <mc:AlternateContent xmlns:mc="http://schemas.openxmlformats.org/markup-compatibility/2006">
    <mc:Choice Requires="x15">
      <x15ac:absPath xmlns:x15ac="http://schemas.microsoft.com/office/spreadsheetml/2010/11/ac" url="C:\Users\david\Documents\ITE_feature_match\"/>
    </mc:Choice>
  </mc:AlternateContent>
  <xr:revisionPtr revIDLastSave="0" documentId="13_ncr:1_{0CBC38C4-5C3B-4FA8-BD36-DB668E9FB5CD}" xr6:coauthVersionLast="47" xr6:coauthVersionMax="47" xr10:uidLastSave="{00000000-0000-0000-0000-000000000000}"/>
  <bookViews>
    <workbookView xWindow="-108" yWindow="-108" windowWidth="23256" windowHeight="12456" firstSheet="17" activeTab="24" xr2:uid="{00000000-000D-0000-FFFF-FFFF00000000}"/>
  </bookViews>
  <sheets>
    <sheet name="Ark2" sheetId="32" r:id="rId1"/>
    <sheet name="Forside" sheetId="9" r:id="rId2"/>
    <sheet name="P-enheder" sheetId="2" r:id="rId3"/>
    <sheet name="410000" sheetId="1" r:id="rId4"/>
    <sheet name="421100" sheetId="10" r:id="rId5"/>
    <sheet name="422100" sheetId="11" r:id="rId6"/>
    <sheet name="429900" sheetId="12" r:id="rId7"/>
    <sheet name="431100" sheetId="13" r:id="rId8"/>
    <sheet name="431200" sheetId="14" r:id="rId9"/>
    <sheet name="432200" sheetId="15" r:id="rId10"/>
    <sheet name="433200" sheetId="16" r:id="rId11"/>
    <sheet name="433300" sheetId="17" r:id="rId12"/>
    <sheet name="434200" sheetId="18" r:id="rId13"/>
    <sheet name="435000" sheetId="19" r:id="rId14"/>
    <sheet name="439100" sheetId="20" r:id="rId15"/>
    <sheet name="439900" sheetId="21" r:id="rId16"/>
    <sheet name="681200" sheetId="22" r:id="rId17"/>
    <sheet name="711210" sheetId="23" r:id="rId18"/>
    <sheet name="(711230)" sheetId="24" r:id="rId19"/>
    <sheet name="711240" sheetId="25" r:id="rId20"/>
    <sheet name="711290" sheetId="26" r:id="rId21"/>
    <sheet name="813000" sheetId="27" r:id="rId22"/>
    <sheet name="(913000)" sheetId="28" r:id="rId23"/>
    <sheet name="Sheet1" sheetId="29" r:id="rId24"/>
    <sheet name="Vægtning" sheetId="31" r:id="rId25"/>
    <sheet name="Personer" sheetId="3" r:id="rId26"/>
    <sheet name="Søgetermer og disclaimer" sheetId="4" r:id="rId27"/>
  </sheets>
  <definedNames>
    <definedName name="_xlnm._FilterDatabase" localSheetId="3" hidden="1">'410000'!$D$1:$D$106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04" i="31" l="1"/>
  <c r="G413" i="31"/>
  <c r="G414" i="31"/>
  <c r="G415" i="31"/>
  <c r="G416" i="31"/>
  <c r="G417" i="31"/>
  <c r="G418" i="31"/>
  <c r="G419" i="31"/>
  <c r="G420" i="31"/>
  <c r="G421" i="31"/>
  <c r="G422" i="31"/>
  <c r="G423" i="31"/>
  <c r="G424" i="31"/>
  <c r="G224" i="31"/>
  <c r="G425" i="31"/>
  <c r="G225" i="31"/>
  <c r="G426" i="31"/>
  <c r="G404" i="31"/>
  <c r="G223" i="31"/>
  <c r="G103" i="31"/>
  <c r="G104" i="31"/>
  <c r="G99" i="31"/>
  <c r="G34" i="31"/>
  <c r="G77" i="31"/>
  <c r="G6" i="31"/>
  <c r="G87" i="31"/>
  <c r="G91" i="31"/>
  <c r="G25" i="31"/>
  <c r="G93" i="31"/>
  <c r="G96" i="31"/>
  <c r="G35" i="31"/>
  <c r="G36" i="31"/>
  <c r="G213" i="31"/>
  <c r="G214" i="31"/>
  <c r="G85" i="31"/>
  <c r="G217" i="31"/>
  <c r="G219" i="31"/>
  <c r="G220" i="31"/>
  <c r="G226" i="31"/>
  <c r="G227" i="31"/>
  <c r="G405" i="31"/>
  <c r="G406" i="31"/>
  <c r="G407" i="31"/>
  <c r="G112" i="31"/>
  <c r="G427" i="31"/>
  <c r="G428" i="31"/>
  <c r="G429" i="31"/>
  <c r="G430" i="31"/>
  <c r="G228" i="31"/>
  <c r="G431" i="31"/>
  <c r="G432" i="31"/>
  <c r="G433" i="31"/>
  <c r="G434" i="31"/>
  <c r="G113" i="31"/>
  <c r="G229" i="31"/>
  <c r="G435" i="31"/>
  <c r="G230" i="31"/>
  <c r="G436" i="31"/>
  <c r="G437" i="31"/>
  <c r="G438" i="31"/>
  <c r="G439" i="31"/>
  <c r="G231" i="31"/>
  <c r="G114" i="31"/>
  <c r="G232" i="31"/>
  <c r="G440" i="31"/>
  <c r="G115" i="31"/>
  <c r="G116" i="31"/>
  <c r="G441" i="31"/>
  <c r="G233" i="31"/>
  <c r="G442" i="31"/>
  <c r="G234" i="31"/>
  <c r="G443" i="31"/>
  <c r="G444" i="31"/>
  <c r="G445" i="31"/>
  <c r="G235" i="31"/>
  <c r="G236" i="31"/>
  <c r="G117" i="31"/>
  <c r="G237" i="31"/>
  <c r="G446" i="31"/>
  <c r="G447" i="31"/>
  <c r="G238" i="31"/>
  <c r="G448" i="31"/>
  <c r="G239" i="31"/>
  <c r="G118" i="31"/>
  <c r="G240" i="31"/>
  <c r="G449" i="31"/>
  <c r="G450" i="31"/>
  <c r="G451" i="31"/>
  <c r="G452" i="31"/>
  <c r="G453" i="31"/>
  <c r="G454" i="31"/>
  <c r="G241" i="31"/>
  <c r="G455" i="31"/>
  <c r="G242" i="31"/>
  <c r="G456" i="31"/>
  <c r="G457" i="31"/>
  <c r="G458" i="31"/>
  <c r="G243" i="31"/>
  <c r="G459" i="31"/>
  <c r="G244" i="31"/>
  <c r="G245" i="31"/>
  <c r="G460" i="31"/>
  <c r="G461" i="31"/>
  <c r="G246" i="31"/>
  <c r="G462" i="31"/>
  <c r="G81" i="31"/>
  <c r="G109" i="31"/>
  <c r="G119" i="31"/>
  <c r="G120" i="31"/>
  <c r="G463" i="31"/>
  <c r="G247" i="31"/>
  <c r="G464" i="31"/>
  <c r="G121" i="31"/>
  <c r="G122" i="31"/>
  <c r="G215" i="31"/>
  <c r="G11" i="31"/>
  <c r="G67" i="31"/>
  <c r="G78" i="31"/>
  <c r="G30" i="31"/>
  <c r="G97" i="31"/>
  <c r="G408" i="31"/>
  <c r="G409" i="31"/>
  <c r="G410" i="31"/>
  <c r="G465" i="31"/>
  <c r="G248" i="31"/>
  <c r="G249" i="31"/>
  <c r="G250" i="31"/>
  <c r="G251" i="31"/>
  <c r="G252" i="31"/>
  <c r="G466" i="31"/>
  <c r="G467" i="31"/>
  <c r="G253" i="31"/>
  <c r="G254" i="31"/>
  <c r="G255" i="31"/>
  <c r="G256" i="31"/>
  <c r="G257" i="31"/>
  <c r="G258" i="31"/>
  <c r="G259" i="31"/>
  <c r="G468" i="31"/>
  <c r="G260" i="31"/>
  <c r="G469" i="31"/>
  <c r="G261" i="31"/>
  <c r="G262" i="31"/>
  <c r="G263" i="31"/>
  <c r="G264" i="31"/>
  <c r="G470" i="31"/>
  <c r="G265" i="31"/>
  <c r="G266" i="31"/>
  <c r="G267" i="31"/>
  <c r="G268" i="31"/>
  <c r="G471" i="31"/>
  <c r="G79" i="31"/>
  <c r="G12" i="31"/>
  <c r="G472" i="31"/>
  <c r="G473" i="31"/>
  <c r="G123" i="31"/>
  <c r="G124" i="31"/>
  <c r="G212" i="31"/>
  <c r="G3" i="31"/>
  <c r="I6" i="31" s="1"/>
  <c r="G5" i="31"/>
  <c r="G218" i="31"/>
  <c r="G269" i="31"/>
  <c r="G82" i="31"/>
  <c r="G86" i="31"/>
  <c r="G216" i="31"/>
  <c r="G100" i="31"/>
  <c r="G107" i="31"/>
  <c r="G125" i="31"/>
  <c r="G411" i="31"/>
  <c r="G270" i="31"/>
  <c r="G474" i="31"/>
  <c r="G271" i="31"/>
  <c r="G475" i="31"/>
  <c r="G476" i="31"/>
  <c r="G272" i="31"/>
  <c r="G477" i="31"/>
  <c r="G273" i="31"/>
  <c r="G274" i="31"/>
  <c r="G478" i="31"/>
  <c r="G275" i="31"/>
  <c r="G126" i="31"/>
  <c r="G276" i="31"/>
  <c r="G127" i="31"/>
  <c r="G128" i="31"/>
  <c r="G32" i="31"/>
  <c r="G26" i="31"/>
  <c r="G13" i="31"/>
  <c r="G68" i="31"/>
  <c r="G221" i="31"/>
  <c r="G37" i="31"/>
  <c r="G69" i="31"/>
  <c r="G70" i="31"/>
  <c r="G71" i="31"/>
  <c r="G105" i="31"/>
  <c r="G110" i="31"/>
  <c r="G111" i="31"/>
  <c r="G129" i="31"/>
  <c r="G130" i="31"/>
  <c r="G131" i="31"/>
  <c r="G38" i="31"/>
  <c r="G277" i="31"/>
  <c r="G278" i="31"/>
  <c r="G132" i="31"/>
  <c r="G133" i="31"/>
  <c r="G134" i="31"/>
  <c r="G135" i="31"/>
  <c r="G279" i="31"/>
  <c r="G280" i="31"/>
  <c r="G281" i="31"/>
  <c r="G136" i="31"/>
  <c r="G282" i="31"/>
  <c r="G283" i="31"/>
  <c r="G284" i="31"/>
  <c r="G285" i="31"/>
  <c r="G286" i="31"/>
  <c r="G287" i="31"/>
  <c r="G288" i="31"/>
  <c r="G289" i="31"/>
  <c r="G290" i="31"/>
  <c r="G137" i="31"/>
  <c r="G138" i="31"/>
  <c r="G291" i="31"/>
  <c r="G139" i="31"/>
  <c r="G292" i="31"/>
  <c r="G293" i="31"/>
  <c r="G140" i="31"/>
  <c r="G294" i="31"/>
  <c r="G295" i="31"/>
  <c r="G141" i="31"/>
  <c r="G296" i="31"/>
  <c r="G297" i="31"/>
  <c r="G298" i="31"/>
  <c r="G299" i="31"/>
  <c r="G142" i="31"/>
  <c r="G300" i="31"/>
  <c r="G301" i="31"/>
  <c r="G302" i="31"/>
  <c r="G303" i="31"/>
  <c r="G143" i="31"/>
  <c r="G304" i="31"/>
  <c r="G39" i="31"/>
  <c r="G305" i="31"/>
  <c r="G306" i="31"/>
  <c r="G144" i="31"/>
  <c r="G307" i="31"/>
  <c r="G479" i="31"/>
  <c r="G145" i="31"/>
  <c r="G146" i="31"/>
  <c r="G40" i="31"/>
  <c r="G94" i="31"/>
  <c r="G147" i="31"/>
  <c r="G8" i="31"/>
  <c r="G41" i="31"/>
  <c r="G80" i="31"/>
  <c r="G88" i="31"/>
  <c r="G95" i="31"/>
  <c r="G10" i="31"/>
  <c r="G14" i="31"/>
  <c r="G16" i="31"/>
  <c r="G106" i="31"/>
  <c r="G108" i="31"/>
  <c r="G148" i="31"/>
  <c r="G308" i="31"/>
  <c r="G309" i="31"/>
  <c r="G310" i="31"/>
  <c r="G311" i="31"/>
  <c r="G312" i="31"/>
  <c r="G313" i="31"/>
  <c r="G314" i="31"/>
  <c r="G149" i="31"/>
  <c r="G315" i="31"/>
  <c r="G316" i="31"/>
  <c r="G317" i="31"/>
  <c r="G150" i="31"/>
  <c r="G318" i="31"/>
  <c r="G319" i="31"/>
  <c r="G151" i="31"/>
  <c r="G42" i="31"/>
  <c r="G320" i="31"/>
  <c r="G321" i="31"/>
  <c r="G322" i="31"/>
  <c r="G323" i="31"/>
  <c r="G324" i="31"/>
  <c r="G325" i="31"/>
  <c r="G326" i="31"/>
  <c r="G43" i="31"/>
  <c r="G327" i="31"/>
  <c r="G328" i="31"/>
  <c r="G329" i="31"/>
  <c r="G152" i="31"/>
  <c r="G330" i="31"/>
  <c r="G331" i="31"/>
  <c r="G44" i="31"/>
  <c r="G45" i="31"/>
  <c r="G332" i="31"/>
  <c r="G333" i="31"/>
  <c r="G334" i="31"/>
  <c r="G335" i="31"/>
  <c r="G336" i="31"/>
  <c r="G46" i="31"/>
  <c r="G337" i="31"/>
  <c r="G338" i="31"/>
  <c r="G339" i="31"/>
  <c r="G340" i="31"/>
  <c r="G480" i="31"/>
  <c r="G341" i="31"/>
  <c r="G342" i="31"/>
  <c r="G343" i="31"/>
  <c r="G481" i="31"/>
  <c r="G344" i="31"/>
  <c r="G345" i="31"/>
  <c r="G346" i="31"/>
  <c r="G347" i="31"/>
  <c r="G348" i="31"/>
  <c r="G153" i="31"/>
  <c r="G47" i="31"/>
  <c r="G349" i="31"/>
  <c r="G350" i="31"/>
  <c r="G351" i="31"/>
  <c r="G154" i="31"/>
  <c r="G352" i="31"/>
  <c r="G353" i="31"/>
  <c r="G354" i="31"/>
  <c r="G355" i="31"/>
  <c r="G48" i="31"/>
  <c r="G356" i="31"/>
  <c r="G357" i="31"/>
  <c r="G358" i="31"/>
  <c r="G482" i="31"/>
  <c r="G359" i="31"/>
  <c r="G155" i="31"/>
  <c r="G360" i="31"/>
  <c r="G361" i="31"/>
  <c r="G362" i="31"/>
  <c r="G363" i="31"/>
  <c r="G483" i="31"/>
  <c r="G364" i="31"/>
  <c r="G365" i="31"/>
  <c r="G49" i="31"/>
  <c r="G366" i="31"/>
  <c r="G367" i="31"/>
  <c r="G156" i="31"/>
  <c r="G368" i="31"/>
  <c r="G50" i="31"/>
  <c r="G369" i="31"/>
  <c r="G370" i="31"/>
  <c r="G371" i="31"/>
  <c r="G372" i="31"/>
  <c r="G373" i="31"/>
  <c r="G51" i="31"/>
  <c r="G484" i="31"/>
  <c r="G52" i="31"/>
  <c r="G157" i="31"/>
  <c r="G53" i="31"/>
  <c r="G158" i="31"/>
  <c r="G374" i="31"/>
  <c r="G54" i="31"/>
  <c r="G375" i="31"/>
  <c r="G55" i="31"/>
  <c r="G56" i="31"/>
  <c r="G159" i="31"/>
  <c r="G160" i="31"/>
  <c r="G161" i="31"/>
  <c r="G376" i="31"/>
  <c r="G162" i="31"/>
  <c r="G163" i="31"/>
  <c r="G89" i="31"/>
  <c r="G17" i="31"/>
  <c r="G101" i="31"/>
  <c r="G485" i="31"/>
  <c r="G377" i="31"/>
  <c r="G486" i="31"/>
  <c r="G72" i="31"/>
  <c r="G83" i="31"/>
  <c r="G57" i="31"/>
  <c r="G31" i="31"/>
  <c r="G102" i="31"/>
  <c r="G18" i="31"/>
  <c r="G164" i="31"/>
  <c r="G487" i="31"/>
  <c r="G165" i="31"/>
  <c r="G378" i="31"/>
  <c r="G166" i="31"/>
  <c r="G379" i="31"/>
  <c r="G380" i="31"/>
  <c r="G381" i="31"/>
  <c r="G382" i="31"/>
  <c r="G167" i="31"/>
  <c r="G488" i="31"/>
  <c r="G168" i="31"/>
  <c r="G383" i="31"/>
  <c r="G384" i="31"/>
  <c r="G169" i="31"/>
  <c r="G170" i="31"/>
  <c r="G58" i="31"/>
  <c r="G385" i="31"/>
  <c r="G386" i="31"/>
  <c r="G387" i="31"/>
  <c r="G388" i="31"/>
  <c r="G389" i="31"/>
  <c r="G390" i="31"/>
  <c r="G171" i="31"/>
  <c r="G391" i="31"/>
  <c r="G172" i="31"/>
  <c r="G392" i="31"/>
  <c r="G393" i="31"/>
  <c r="G173" i="31"/>
  <c r="G174" i="31"/>
  <c r="G92" i="31"/>
  <c r="G20" i="31"/>
  <c r="G22" i="31"/>
  <c r="G175" i="31"/>
  <c r="G489" i="31"/>
  <c r="G176" i="31"/>
  <c r="G177" i="31"/>
  <c r="G178" i="31"/>
  <c r="G179" i="31"/>
  <c r="G180" i="31"/>
  <c r="G394" i="31"/>
  <c r="G490" i="31"/>
  <c r="G491" i="31"/>
  <c r="G181" i="31"/>
  <c r="G395" i="31"/>
  <c r="G492" i="31"/>
  <c r="G396" i="31"/>
  <c r="G493" i="31"/>
  <c r="G397" i="31"/>
  <c r="G494" i="31"/>
  <c r="G182" i="31"/>
  <c r="G59" i="31"/>
  <c r="G183" i="31"/>
  <c r="G398" i="31"/>
  <c r="G495" i="31"/>
  <c r="G496" i="31"/>
  <c r="G497" i="31"/>
  <c r="G222" i="31"/>
  <c r="G98" i="31"/>
  <c r="G399" i="31"/>
  <c r="G498" i="31"/>
  <c r="G400" i="31"/>
  <c r="G499" i="31"/>
  <c r="G184" i="31"/>
  <c r="G185" i="31"/>
  <c r="G186" i="31"/>
  <c r="G187" i="31"/>
  <c r="G188" i="31"/>
  <c r="G189" i="31"/>
  <c r="G190" i="31"/>
  <c r="G74" i="31"/>
  <c r="G24" i="31"/>
  <c r="G15" i="31"/>
  <c r="G9" i="31"/>
  <c r="G19" i="31"/>
  <c r="G21" i="31"/>
  <c r="G27" i="31"/>
  <c r="G28" i="31"/>
  <c r="G29" i="31"/>
  <c r="G33" i="31"/>
  <c r="G73" i="31"/>
  <c r="G75" i="31"/>
  <c r="G84" i="31"/>
  <c r="G191" i="31"/>
  <c r="G192" i="31"/>
  <c r="G193" i="31"/>
  <c r="G194" i="31"/>
  <c r="G195" i="31"/>
  <c r="G196" i="31"/>
  <c r="G197" i="31"/>
  <c r="G198" i="31"/>
  <c r="G199" i="31"/>
  <c r="G200" i="31"/>
  <c r="G201" i="31"/>
  <c r="G202" i="31"/>
  <c r="G203" i="31"/>
  <c r="G204" i="31"/>
  <c r="G205" i="31"/>
  <c r="G206" i="31"/>
  <c r="G4" i="31"/>
  <c r="G207" i="31"/>
  <c r="G208" i="31"/>
  <c r="G209" i="31"/>
  <c r="G211" i="31"/>
  <c r="G90" i="31"/>
  <c r="G500" i="31"/>
  <c r="G210" i="31"/>
  <c r="G501" i="31"/>
  <c r="G502" i="31"/>
  <c r="G503" i="31"/>
  <c r="G60" i="31"/>
  <c r="G61" i="31"/>
  <c r="G2" i="31"/>
  <c r="G7" i="31"/>
  <c r="G76" i="31"/>
  <c r="G23" i="31"/>
  <c r="G401" i="31"/>
  <c r="G62" i="31"/>
  <c r="G63" i="31"/>
  <c r="G64" i="31"/>
  <c r="G402" i="31"/>
  <c r="G403" i="31"/>
  <c r="G65" i="31"/>
  <c r="G66" i="31"/>
  <c r="G412" i="31"/>
  <c r="I15" i="29" l="1"/>
  <c r="F19" i="29"/>
  <c r="C19" i="29"/>
  <c r="C24" i="9"/>
</calcChain>
</file>

<file path=xl/sharedStrings.xml><?xml version="1.0" encoding="utf-8"?>
<sst xmlns="http://schemas.openxmlformats.org/spreadsheetml/2006/main" count="7184" uniqueCount="3705">
  <si>
    <t>Startdato</t>
  </si>
  <si>
    <t>Navn</t>
  </si>
  <si>
    <t>Adresse</t>
  </si>
  <si>
    <t>Postnr.</t>
  </si>
  <si>
    <t>By</t>
  </si>
  <si>
    <t>Hovedbranche</t>
  </si>
  <si>
    <t>Telefonnr</t>
  </si>
  <si>
    <t>Email</t>
  </si>
  <si>
    <t>Reklamebeskyttet</t>
  </si>
  <si>
    <t>CVR-nummer/REG-nummer</t>
  </si>
  <si>
    <t>Virksomhedsform</t>
  </si>
  <si>
    <t>P-nummer</t>
  </si>
  <si>
    <t>Aktive relationer, CVR-nummer</t>
  </si>
  <si>
    <t>Aktive relationer, Virksomhedsnavn</t>
  </si>
  <si>
    <t>Tilknytning</t>
  </si>
  <si>
    <t>Vilkår og betingelser for export af søgeresultat</t>
  </si>
  <si>
    <t>29395748</t>
  </si>
  <si>
    <t>2006-02-13</t>
  </si>
  <si>
    <t/>
  </si>
  <si>
    <t>BRDR. LAURIDSEN ApS</t>
  </si>
  <si>
    <t>Herlev Hovedgade 195A - 1. - 2730 Herlev</t>
  </si>
  <si>
    <t>2730</t>
  </si>
  <si>
    <t>Herlev</t>
  </si>
  <si>
    <t>Anpartsselskab</t>
  </si>
  <si>
    <t>410000 Opførelse af bygninger</t>
  </si>
  <si>
    <t>Nej</t>
  </si>
  <si>
    <t>30811097</t>
  </si>
  <si>
    <t>2007-08-24</t>
  </si>
  <si>
    <t>5E BYG A/S</t>
  </si>
  <si>
    <t>Cortex Park 12 - 5230 Odense M</t>
  </si>
  <si>
    <t>5230</t>
  </si>
  <si>
    <t>Odense M</t>
  </si>
  <si>
    <t>Aktieselskab</t>
  </si>
  <si>
    <t>63404140</t>
  </si>
  <si>
    <t>info@5e-byg.dk</t>
  </si>
  <si>
    <t>36498072</t>
  </si>
  <si>
    <t>2015-01-23</t>
  </si>
  <si>
    <t>ATHENE BYG ApS</t>
  </si>
  <si>
    <t>Sydvestvej 130 - 2600 Glostrup</t>
  </si>
  <si>
    <t>2600</t>
  </si>
  <si>
    <t>Glostrup</t>
  </si>
  <si>
    <t>40264248</t>
  </si>
  <si>
    <t>mikkeldelinde@hotmail.com</t>
  </si>
  <si>
    <t>36089059</t>
  </si>
  <si>
    <t>2014-09-11</t>
  </si>
  <si>
    <t>MARCOPLAN ENTREPRISE A/S</t>
  </si>
  <si>
    <t>Audebo Skolevej 1 - 4300 Holbæk</t>
  </si>
  <si>
    <t>4300</t>
  </si>
  <si>
    <t>Holbæk</t>
  </si>
  <si>
    <t>59460116</t>
  </si>
  <si>
    <t>info@marcoplan.dk</t>
  </si>
  <si>
    <t>37215228</t>
  </si>
  <si>
    <t>1961-09-15</t>
  </si>
  <si>
    <t>HANSSON &amp; KNUDSEN A/S</t>
  </si>
  <si>
    <t>Cikorievej 5 - 5220 Odense SØ</t>
  </si>
  <si>
    <t>5220</t>
  </si>
  <si>
    <t>Odense SØ</t>
  </si>
  <si>
    <t>66120810</t>
  </si>
  <si>
    <t>info@hansson-knudsen.dk</t>
  </si>
  <si>
    <t>15919299</t>
  </si>
  <si>
    <t>1992-02-05</t>
  </si>
  <si>
    <t>Selskabet af 01.03.2024 A/S</t>
  </si>
  <si>
    <t>Søbjergvænget 80 - Nr Broby - 5672 Broby</t>
  </si>
  <si>
    <t>5672</t>
  </si>
  <si>
    <t>Broby</t>
  </si>
  <si>
    <t>40408315</t>
  </si>
  <si>
    <t>hans.elving@me.com</t>
  </si>
  <si>
    <t>12243634</t>
  </si>
  <si>
    <t>1988-06-29</t>
  </si>
  <si>
    <t>ALF JENSEN A/S. SPODSBJERG</t>
  </si>
  <si>
    <t>Ellehaven 16 - 5900 Rudkøbing</t>
  </si>
  <si>
    <t>5900</t>
  </si>
  <si>
    <t>Rudkøbing</t>
  </si>
  <si>
    <t>62514812</t>
  </si>
  <si>
    <t>12503830</t>
  </si>
  <si>
    <t>1988-10-24</t>
  </si>
  <si>
    <t>HEE ENTREPRISE A/S</t>
  </si>
  <si>
    <t>Holstebrovej 79 - Hee - 6950 Ringkøbing</t>
  </si>
  <si>
    <t>6950</t>
  </si>
  <si>
    <t>Ringkøbing</t>
  </si>
  <si>
    <t>97335360</t>
  </si>
  <si>
    <t>35054499</t>
  </si>
  <si>
    <t>2013-03-06</t>
  </si>
  <si>
    <t>DAN-CON ELEMENTMONTAGE ApS</t>
  </si>
  <si>
    <t>Trandumvej 5 - 7800 Skive</t>
  </si>
  <si>
    <t>7800</t>
  </si>
  <si>
    <t>Skive</t>
  </si>
  <si>
    <t>40901351</t>
  </si>
  <si>
    <t>kb@dan-con.com</t>
  </si>
  <si>
    <t>34213887</t>
  </si>
  <si>
    <t>2012-01-20</t>
  </si>
  <si>
    <t>H.N. BYG OG MONTAGE ApS</t>
  </si>
  <si>
    <t>Humlemarken 10 - 9500 Hobro</t>
  </si>
  <si>
    <t>9500</t>
  </si>
  <si>
    <t>Hobro</t>
  </si>
  <si>
    <t>72166019</t>
  </si>
  <si>
    <t>1983-05-25</t>
  </si>
  <si>
    <t>ENTREPRENØRFIRMAET POUL PEDERSEN A/S</t>
  </si>
  <si>
    <t>Grimhøjvej 12 - 8220 Brabrand</t>
  </si>
  <si>
    <t>8220</t>
  </si>
  <si>
    <t>Brabrand</t>
  </si>
  <si>
    <t>86262144</t>
  </si>
  <si>
    <t>20627433</t>
  </si>
  <si>
    <t>1997-11-11</t>
  </si>
  <si>
    <t>BYGGESELSKABET MAJ ApS AF 1997</t>
  </si>
  <si>
    <t>C/O Byggeselskabet Maj Aps., C/O Byggeselskabet Maj Aps. - Bøllemosevej 9 - Uvelse - 3550 Slangerup</t>
  </si>
  <si>
    <t>3550</t>
  </si>
  <si>
    <t>Slangerup</t>
  </si>
  <si>
    <t>60408860</t>
  </si>
  <si>
    <t>bogholderi@byggeselskabetmaj.dk</t>
  </si>
  <si>
    <t>29690278</t>
  </si>
  <si>
    <t>2006-07-14</t>
  </si>
  <si>
    <t>WILS A/S</t>
  </si>
  <si>
    <t>Sinding Hedevej 117B - 8600 Silkeborg</t>
  </si>
  <si>
    <t>8600</t>
  </si>
  <si>
    <t>Silkeborg</t>
  </si>
  <si>
    <t>21790090</t>
  </si>
  <si>
    <t>12225385</t>
  </si>
  <si>
    <t>1988-06-28</t>
  </si>
  <si>
    <t>ULDUM HUSE A/S</t>
  </si>
  <si>
    <t>Højskolebakken 26 - 7171 Uldum</t>
  </si>
  <si>
    <t>7171</t>
  </si>
  <si>
    <t>Uldum</t>
  </si>
  <si>
    <t>75678911</t>
  </si>
  <si>
    <t>17559737</t>
  </si>
  <si>
    <t>1994-01-01</t>
  </si>
  <si>
    <t>Guldfeldt A/S</t>
  </si>
  <si>
    <t>Sivmosevænget 4 - Hjallese - 5260 Odense S</t>
  </si>
  <si>
    <t>5260</t>
  </si>
  <si>
    <t>Odense S</t>
  </si>
  <si>
    <t>66121834</t>
  </si>
  <si>
    <t>mail@guldfeldt.dk</t>
  </si>
  <si>
    <t>18974347</t>
  </si>
  <si>
    <t>1995-12-14</t>
  </si>
  <si>
    <t>AALBORG ENERGIE TECHNIK A/S</t>
  </si>
  <si>
    <t>Lavavej 16 - 9220 Aalborg Øst</t>
  </si>
  <si>
    <t>9220</t>
  </si>
  <si>
    <t>Aalborg Øst</t>
  </si>
  <si>
    <t>aet@aet-biomass.com</t>
  </si>
  <si>
    <t>18795507</t>
  </si>
  <si>
    <t>1995-09-01</t>
  </si>
  <si>
    <t>A. ENGGAARD A/S</t>
  </si>
  <si>
    <t>Marathonvej 5 - 9230 Svenstrup J</t>
  </si>
  <si>
    <t>9230</t>
  </si>
  <si>
    <t>Svenstrup J</t>
  </si>
  <si>
    <t>27221750</t>
  </si>
  <si>
    <t>2003-05-30</t>
  </si>
  <si>
    <t>L.P. MONTAGE ApS</t>
  </si>
  <si>
    <t>Belgiensvej 3 - 4800 Nykøbing F</t>
  </si>
  <si>
    <t>4800</t>
  </si>
  <si>
    <t>Nykøbing F</t>
  </si>
  <si>
    <t>40757080</t>
  </si>
  <si>
    <t>Hn@lpmontage.dk</t>
  </si>
  <si>
    <t>26893089</t>
  </si>
  <si>
    <t>2002-12-02</t>
  </si>
  <si>
    <t>ALTERNA HUSE A/S</t>
  </si>
  <si>
    <t>Skånevej 19 - 6230 Rødekro</t>
  </si>
  <si>
    <t>6230</t>
  </si>
  <si>
    <t>Rødekro</t>
  </si>
  <si>
    <t>info@alterna-huse.dk</t>
  </si>
  <si>
    <t>27083455</t>
  </si>
  <si>
    <t>2003-03-26</t>
  </si>
  <si>
    <t>ARNE ANDERSEN, VRÅ A/S</t>
  </si>
  <si>
    <t>Nordre Ringvej 7 - 9760 Vrå</t>
  </si>
  <si>
    <t>9760</t>
  </si>
  <si>
    <t>Vrå</t>
  </si>
  <si>
    <t>98981964</t>
  </si>
  <si>
    <t>info@arne-andersen.dk</t>
  </si>
  <si>
    <t>26866278</t>
  </si>
  <si>
    <t>2002-11-13</t>
  </si>
  <si>
    <t>HusCompagniet Danmark A/S</t>
  </si>
  <si>
    <t>Agerøvej 31A - True - 8381 Tilst</t>
  </si>
  <si>
    <t>8381</t>
  </si>
  <si>
    <t>Tilst</t>
  </si>
  <si>
    <t>75645799</t>
  </si>
  <si>
    <t>35395555</t>
  </si>
  <si>
    <t>2013-07-01</t>
  </si>
  <si>
    <t>ENTREPRENØR JES PEDERSEN, SORØ ApS</t>
  </si>
  <si>
    <t>Brobyvej 89B - 4180 Sorø</t>
  </si>
  <si>
    <t>4180</t>
  </si>
  <si>
    <t>Sorø</t>
  </si>
  <si>
    <t>39653354</t>
  </si>
  <si>
    <t>2018-06-19</t>
  </si>
  <si>
    <t>Vibe-Huse A/S</t>
  </si>
  <si>
    <t>Samsøvej 29 - 8382 Hinnerup</t>
  </si>
  <si>
    <t>8382</t>
  </si>
  <si>
    <t>Hinnerup</t>
  </si>
  <si>
    <t>61017313</t>
  </si>
  <si>
    <t>1981-11-16</t>
  </si>
  <si>
    <t>JØRGEN FALK-PETERSEN A/S</t>
  </si>
  <si>
    <t>Kurkmarkvej 1 - 6093 Sjølund</t>
  </si>
  <si>
    <t>6093</t>
  </si>
  <si>
    <t>Sjølund</t>
  </si>
  <si>
    <t>75574777</t>
  </si>
  <si>
    <t>76840415</t>
  </si>
  <si>
    <t>1984-12-20</t>
  </si>
  <si>
    <t>K.F.S. BOLIGBYG A/S</t>
  </si>
  <si>
    <t>Hagensvej 48 - 9530 Støvring</t>
  </si>
  <si>
    <t>9530</t>
  </si>
  <si>
    <t>Støvring</t>
  </si>
  <si>
    <t>14375597</t>
  </si>
  <si>
    <t>1990-08-01</t>
  </si>
  <si>
    <t>CHRISTIANSEN &amp; ESSENBÆK A/S</t>
  </si>
  <si>
    <t>Ejby Industrivej 80 - 2600 Glostrup</t>
  </si>
  <si>
    <t>33245661</t>
  </si>
  <si>
    <t>2010-10-07</t>
  </si>
  <si>
    <t>KLIMAHUSE A/S</t>
  </si>
  <si>
    <t>Lene Haus Vej 15 - 7430 Ikast</t>
  </si>
  <si>
    <t>7430</t>
  </si>
  <si>
    <t>Ikast</t>
  </si>
  <si>
    <t>19373096</t>
  </si>
  <si>
    <t>1996-07-01</t>
  </si>
  <si>
    <t>CORTEX FACADERENS ApS</t>
  </si>
  <si>
    <t>Hammerholmen 22 - st. 1 - 2650 Hvidovre</t>
  </si>
  <si>
    <t>2650</t>
  </si>
  <si>
    <t>Hvidovre</t>
  </si>
  <si>
    <t>36772181</t>
  </si>
  <si>
    <t>25655443</t>
  </si>
  <si>
    <t>2013-12-18</t>
  </si>
  <si>
    <t>Fischer Gruppen A/S</t>
  </si>
  <si>
    <t>Literbuen 10 - 2740 Skovlunde</t>
  </si>
  <si>
    <t>2740</t>
  </si>
  <si>
    <t>Skovlunde</t>
  </si>
  <si>
    <t>25336599</t>
  </si>
  <si>
    <t>anders@fischer-ts.dk</t>
  </si>
  <si>
    <t>13246106</t>
  </si>
  <si>
    <t>1989-07-01</t>
  </si>
  <si>
    <t>BENT PEDERSEN LUNDE A/S</t>
  </si>
  <si>
    <t>Øster Lundevej 37 - Lunde - 5450 Otterup</t>
  </si>
  <si>
    <t>5450</t>
  </si>
  <si>
    <t>Otterup</t>
  </si>
  <si>
    <t>65955188</t>
  </si>
  <si>
    <t>10019036</t>
  </si>
  <si>
    <t>1985-11-25</t>
  </si>
  <si>
    <t>KAJ OVE MADSEN A/S</t>
  </si>
  <si>
    <t>Bjørnevej 4 - 7800 Skive</t>
  </si>
  <si>
    <t>97527000</t>
  </si>
  <si>
    <t>27973523</t>
  </si>
  <si>
    <t>2004-06-30</t>
  </si>
  <si>
    <t>VESTI OLSEN A/S</t>
  </si>
  <si>
    <t>Bukkerupvej 92 - Bukkerup - 4340 Tølløse</t>
  </si>
  <si>
    <t>4340</t>
  </si>
  <si>
    <t>Tølløse</t>
  </si>
  <si>
    <t>59180022</t>
  </si>
  <si>
    <t>mail@vesti-olsen.dk</t>
  </si>
  <si>
    <t>18642484</t>
  </si>
  <si>
    <t>1995-07-01</t>
  </si>
  <si>
    <t>H. NIELSEN &amp; SØN A/S</t>
  </si>
  <si>
    <t>Lillemarken 4 - Rønnebkholm - 4700 Næstved</t>
  </si>
  <si>
    <t>4700</t>
  </si>
  <si>
    <t>Næstved</t>
  </si>
  <si>
    <t>55725027</t>
  </si>
  <si>
    <t>hns@hns-as.dk</t>
  </si>
  <si>
    <t>28987765</t>
  </si>
  <si>
    <t>2005-08-01</t>
  </si>
  <si>
    <t>PEJ-ENTREPRISE ApS</t>
  </si>
  <si>
    <t>Bombakken 59 - 3320 Skævinge</t>
  </si>
  <si>
    <t>3320</t>
  </si>
  <si>
    <t>Skævinge</t>
  </si>
  <si>
    <t>erik@pejentreprise.dk</t>
  </si>
  <si>
    <t>29135983</t>
  </si>
  <si>
    <t>2005-10-07</t>
  </si>
  <si>
    <t>OLE JEPSEN A/S</t>
  </si>
  <si>
    <t>Abildgårdsparken 10 - 3460 Birkerød</t>
  </si>
  <si>
    <t>3460</t>
  </si>
  <si>
    <t>Birkerød</t>
  </si>
  <si>
    <t>45883100</t>
  </si>
  <si>
    <t>17232398</t>
  </si>
  <si>
    <t>1993-06-30</t>
  </si>
  <si>
    <t>MURER- OG ENTREPRENØRFIRMA OLE SOMMER A/S</t>
  </si>
  <si>
    <t>Industritoften 2 - Virring - 8660 Skanderborg</t>
  </si>
  <si>
    <t>8660</t>
  </si>
  <si>
    <t>Skanderborg</t>
  </si>
  <si>
    <t>86927166</t>
  </si>
  <si>
    <t>18409739</t>
  </si>
  <si>
    <t>1995-03-01</t>
  </si>
  <si>
    <t>Karl Poulsen ApS</t>
  </si>
  <si>
    <t>Smedevej 6 - 6740 Bramming</t>
  </si>
  <si>
    <t>6740</t>
  </si>
  <si>
    <t>Bramming</t>
  </si>
  <si>
    <t>75173077</t>
  </si>
  <si>
    <t>19548791</t>
  </si>
  <si>
    <t>1996-09-16</t>
  </si>
  <si>
    <t>PREBEN POULSEN ENTREPRENØRFIRMA. HERRUP ApS</t>
  </si>
  <si>
    <t>Virkelyst 4 - Herrup - 7830 Vinderup</t>
  </si>
  <si>
    <t>7830</t>
  </si>
  <si>
    <t>Vinderup</t>
  </si>
  <si>
    <t>97452615</t>
  </si>
  <si>
    <t>21518689</t>
  </si>
  <si>
    <t>1999-03-05</t>
  </si>
  <si>
    <t>RASMUS FRIIS A/S</t>
  </si>
  <si>
    <t>Rentemestervej 14 - 2400 København NV</t>
  </si>
  <si>
    <t>2400</t>
  </si>
  <si>
    <t>København NV</t>
  </si>
  <si>
    <t>26207207</t>
  </si>
  <si>
    <t>2001-04-25</t>
  </si>
  <si>
    <t>JORTON A/S</t>
  </si>
  <si>
    <t>Robert Fultons Vej 16 - Skejby - 8200 Aarhus N</t>
  </si>
  <si>
    <t>8200</t>
  </si>
  <si>
    <t>Aarhus N</t>
  </si>
  <si>
    <t>89304500</t>
  </si>
  <si>
    <t>29919089</t>
  </si>
  <si>
    <t>2006-09-14</t>
  </si>
  <si>
    <t>ADSERBALLE &amp; KNUDSEN A/S</t>
  </si>
  <si>
    <t>Ryttermarken 6 - 3520 Farum</t>
  </si>
  <si>
    <t>3520</t>
  </si>
  <si>
    <t>Farum</t>
  </si>
  <si>
    <t>44978733</t>
  </si>
  <si>
    <t>info@aogk.dk</t>
  </si>
  <si>
    <t>34755116</t>
  </si>
  <si>
    <t>1971-11-30</t>
  </si>
  <si>
    <t>LILJE-HUSET A/S</t>
  </si>
  <si>
    <t>C.F. Tietgens Boulevard 32 - Over Holluf - 5220 Odense SØ</t>
  </si>
  <si>
    <t>66144677</t>
  </si>
  <si>
    <t>30718526</t>
  </si>
  <si>
    <t>2007-07-12</t>
  </si>
  <si>
    <t>JC TEGN &amp; BYG A/S</t>
  </si>
  <si>
    <t>Strandvejen 133 - Rørth - 8300 Odder</t>
  </si>
  <si>
    <t>8300</t>
  </si>
  <si>
    <t>Odder</t>
  </si>
  <si>
    <t>86541818</t>
  </si>
  <si>
    <t>mail@jctegnogbyg.dk</t>
  </si>
  <si>
    <t>37041106</t>
  </si>
  <si>
    <t>2015-08-25</t>
  </si>
  <si>
    <t>Sonne Huse A/S</t>
  </si>
  <si>
    <t>A F Heidemanns Vej 17 - 9800 Hjørring</t>
  </si>
  <si>
    <t>9800</t>
  </si>
  <si>
    <t>Hjørring</t>
  </si>
  <si>
    <t>98927666</t>
  </si>
  <si>
    <t>arne@sonnehuse.dk</t>
  </si>
  <si>
    <t>38030582</t>
  </si>
  <si>
    <t>2016-09-23</t>
  </si>
  <si>
    <t>Pihl &amp; Søn A/S</t>
  </si>
  <si>
    <t>Mårkærvej 2C - 2630 Taastrup</t>
  </si>
  <si>
    <t>2630</t>
  </si>
  <si>
    <t>Taastrup</t>
  </si>
  <si>
    <t>46186010</t>
  </si>
  <si>
    <t>projektokonomi@lmpihl.dk</t>
  </si>
  <si>
    <t>40082395</t>
  </si>
  <si>
    <t>2018-11-30</t>
  </si>
  <si>
    <t>KABI Entreprise A/S</t>
  </si>
  <si>
    <t>Tuse Byvej 92 - Tuse - 4300 Holbæk</t>
  </si>
  <si>
    <t>41961716</t>
  </si>
  <si>
    <t>1984-12-03</t>
  </si>
  <si>
    <t>EBK HUSE A/S</t>
  </si>
  <si>
    <t>Skovsøvej 15 - Skovsø - 4200 Slagelse</t>
  </si>
  <si>
    <t>4200</t>
  </si>
  <si>
    <t>Slagelse</t>
  </si>
  <si>
    <t>58560400</t>
  </si>
  <si>
    <t>35527370</t>
  </si>
  <si>
    <t>2013-11-07</t>
  </si>
  <si>
    <t>GAP ENTREPRISE ApS</t>
  </si>
  <si>
    <t>Kappelevvej 27 - 2670 Greve</t>
  </si>
  <si>
    <t>2670</t>
  </si>
  <si>
    <t>Greve</t>
  </si>
  <si>
    <t>Faktura@gapentreprise.dk</t>
  </si>
  <si>
    <t>57104511</t>
  </si>
  <si>
    <t>1962-04-30</t>
  </si>
  <si>
    <t>SVEND AAGE CHRISTIANSEN, HELLUM A/S</t>
  </si>
  <si>
    <t>Høngårdsvej 36 - 9750 Østervrå</t>
  </si>
  <si>
    <t>9750</t>
  </si>
  <si>
    <t>Østervrå</t>
  </si>
  <si>
    <t>98834244</t>
  </si>
  <si>
    <t>67294815</t>
  </si>
  <si>
    <t>1981-10-08</t>
  </si>
  <si>
    <t>HHM A/S</t>
  </si>
  <si>
    <t>Bragesvej 4 - 3400 Hillerød</t>
  </si>
  <si>
    <t>3400</t>
  </si>
  <si>
    <t>Hillerød</t>
  </si>
  <si>
    <t>26934869</t>
  </si>
  <si>
    <t>2003-01-03</t>
  </si>
  <si>
    <t>KARISE ANLÆG &amp; BYG A/S</t>
  </si>
  <si>
    <t>Skovvej 2 - St Linde - 4653 Karise</t>
  </si>
  <si>
    <t>4653</t>
  </si>
  <si>
    <t>Karise</t>
  </si>
  <si>
    <t>84941328</t>
  </si>
  <si>
    <t>1978-09-20</t>
  </si>
  <si>
    <t>H.D. BYG EJSTRUPHOLM ApS</t>
  </si>
  <si>
    <t>Møllevejen 11 - 7361 Ejstrupholm</t>
  </si>
  <si>
    <t>7361</t>
  </si>
  <si>
    <t>Ejstrupholm</t>
  </si>
  <si>
    <t>75772366</t>
  </si>
  <si>
    <t>info@hd-byg.dk</t>
  </si>
  <si>
    <t>38790285</t>
  </si>
  <si>
    <t>2017-07-01</t>
  </si>
  <si>
    <t>Errigal ApS</t>
  </si>
  <si>
    <t>C/O Christensen Kjærulff, C/O Christensen Kjærulff - Østbanegade 123 - 2100 København Ø</t>
  </si>
  <si>
    <t>2100</t>
  </si>
  <si>
    <t>København Ø</t>
  </si>
  <si>
    <t>19811638</t>
  </si>
  <si>
    <t>1996-12-05</t>
  </si>
  <si>
    <t>PLE A/S</t>
  </si>
  <si>
    <t>Sandemandsvej 12 - 3700 Rønne</t>
  </si>
  <si>
    <t>3700</t>
  </si>
  <si>
    <t>Rønne</t>
  </si>
  <si>
    <t>56951888</t>
  </si>
  <si>
    <t>ple@ple.dk</t>
  </si>
  <si>
    <t>28575017</t>
  </si>
  <si>
    <t>1970-06-29</t>
  </si>
  <si>
    <t>THS. JØRGENSEN OG SØN A/S</t>
  </si>
  <si>
    <t>Odinsvej 13 - 4640 Faxe</t>
  </si>
  <si>
    <t>4640</t>
  </si>
  <si>
    <t>Faxe</t>
  </si>
  <si>
    <t>56713166</t>
  </si>
  <si>
    <t>20797606</t>
  </si>
  <si>
    <t>1998-03-31</t>
  </si>
  <si>
    <t>JENS SANDBERG A/S</t>
  </si>
  <si>
    <t>Knullen 16 - Højby - 5260 Odense S</t>
  </si>
  <si>
    <t>25099796</t>
  </si>
  <si>
    <t>1999-11-26</t>
  </si>
  <si>
    <t>HME A/S</t>
  </si>
  <si>
    <t>Evaholmvej 24 - Hornum - 9600 Aars</t>
  </si>
  <si>
    <t>9600</t>
  </si>
  <si>
    <t>Aars</t>
  </si>
  <si>
    <t>98661100</t>
  </si>
  <si>
    <t>info@hme.dk</t>
  </si>
  <si>
    <t>15197587</t>
  </si>
  <si>
    <t>1991-06-01</t>
  </si>
  <si>
    <t>V.B. BYGGEINDUSTRI A/S.</t>
  </si>
  <si>
    <t>Vrålyngen 4 - 3540 Lynge</t>
  </si>
  <si>
    <t>3540</t>
  </si>
  <si>
    <t>Lynge</t>
  </si>
  <si>
    <t>48192100</t>
  </si>
  <si>
    <t>29222401</t>
  </si>
  <si>
    <t>2006-01-01</t>
  </si>
  <si>
    <t>Balco Altaner A/S</t>
  </si>
  <si>
    <t>Hammerholmen 48A - 2650 Hvidovre</t>
  </si>
  <si>
    <t>30921941</t>
  </si>
  <si>
    <t>2007-09-18</t>
  </si>
  <si>
    <t>ide-huse A/S</t>
  </si>
  <si>
    <t>Ørnhøjvej 18 - Grønbjerg - 6971 Spjald</t>
  </si>
  <si>
    <t>6971</t>
  </si>
  <si>
    <t>Spjald</t>
  </si>
  <si>
    <t>97384281</t>
  </si>
  <si>
    <t>27390420</t>
  </si>
  <si>
    <t>2003-10-01</t>
  </si>
  <si>
    <t>SKANDI-BO A/S</t>
  </si>
  <si>
    <t>Industrivej 1 - Ubby - 4490 Jerslev Sjælland</t>
  </si>
  <si>
    <t>4490</t>
  </si>
  <si>
    <t>Jerslev Sjælland</t>
  </si>
  <si>
    <t>59595054</t>
  </si>
  <si>
    <t>33863543</t>
  </si>
  <si>
    <t>2011-08-01</t>
  </si>
  <si>
    <t>PENTA BYG A/S</t>
  </si>
  <si>
    <t>Teglvænget 1 - 7400 Herning</t>
  </si>
  <si>
    <t>7400</t>
  </si>
  <si>
    <t>Herning</t>
  </si>
  <si>
    <t>72440370</t>
  </si>
  <si>
    <t>jkn@pentabyg.dk</t>
  </si>
  <si>
    <t>35651950</t>
  </si>
  <si>
    <t>2014-01-30</t>
  </si>
  <si>
    <t>BAM DANMARK A/S</t>
  </si>
  <si>
    <t>Maglebjergvej 6 - 2800 Kongens Lyngby</t>
  </si>
  <si>
    <t>2800</t>
  </si>
  <si>
    <t>Kongens Lyngby</t>
  </si>
  <si>
    <t>33362781</t>
  </si>
  <si>
    <t>2010-11-25</t>
  </si>
  <si>
    <t>GUSTAV HANSEN, MURER OG ENTREPRENØR A/S</t>
  </si>
  <si>
    <t>Sortenborgvej 21 - 8600 Silkeborg</t>
  </si>
  <si>
    <t>86821344</t>
  </si>
  <si>
    <t>74101119</t>
  </si>
  <si>
    <t>1983-12-20</t>
  </si>
  <si>
    <t>TL BYG A/S</t>
  </si>
  <si>
    <t>Gartnervej 9 - 9200 Aalborg SV</t>
  </si>
  <si>
    <t>9200</t>
  </si>
  <si>
    <t>Aalborg SV</t>
  </si>
  <si>
    <t>96343211</t>
  </si>
  <si>
    <t>58333514</t>
  </si>
  <si>
    <t>1980-09-17</t>
  </si>
  <si>
    <t>PER PEDERSEN HAARBY A/S</t>
  </si>
  <si>
    <t>Østergaardsvej 5 - 7 - 5683 Haarby</t>
  </si>
  <si>
    <t>5683</t>
  </si>
  <si>
    <t>Haarby</t>
  </si>
  <si>
    <t>64731726</t>
  </si>
  <si>
    <t>87192911</t>
  </si>
  <si>
    <t>1979-06-29</t>
  </si>
  <si>
    <t>VESTJYSK KLOAK &amp; ANLÆG ApS</t>
  </si>
  <si>
    <t>Nedervej 14 - Staby - 6990 Ulfborg</t>
  </si>
  <si>
    <t>6990</t>
  </si>
  <si>
    <t>Ulfborg</t>
  </si>
  <si>
    <t>79301288</t>
  </si>
  <si>
    <t>89689813</t>
  </si>
  <si>
    <t>1982-01-08</t>
  </si>
  <si>
    <t>DAUGAARD PEDERSEN A/S</t>
  </si>
  <si>
    <t>Merkurvej 2 - 6000 Kolding</t>
  </si>
  <si>
    <t>6000</t>
  </si>
  <si>
    <t>Kolding</t>
  </si>
  <si>
    <t>75583033</t>
  </si>
  <si>
    <t>19562972</t>
  </si>
  <si>
    <t>1996-09-01</t>
  </si>
  <si>
    <t>JENS JENSEN MURER- OG ENTREPRENØR A/S</t>
  </si>
  <si>
    <t>Niels Ebbesens Vej 11 - 7500 Holstebro</t>
  </si>
  <si>
    <t>7500</t>
  </si>
  <si>
    <t>Holstebro</t>
  </si>
  <si>
    <t>96108400</t>
  </si>
  <si>
    <t>mail@jensjensen.dk</t>
  </si>
  <si>
    <t>10471184</t>
  </si>
  <si>
    <t>1986-11-01</t>
  </si>
  <si>
    <t>SKARE PROJEKTUDVIKLING A/S</t>
  </si>
  <si>
    <t>Nordager 2 - 6000 Kolding</t>
  </si>
  <si>
    <t>33492782</t>
  </si>
  <si>
    <t>2011-01-25</t>
  </si>
  <si>
    <t>MILTON HUSE A/S</t>
  </si>
  <si>
    <t>Helge Nielsens Alle 7 - 8723 Løsning</t>
  </si>
  <si>
    <t>8723</t>
  </si>
  <si>
    <t>Løsning</t>
  </si>
  <si>
    <t>38555219</t>
  </si>
  <si>
    <t>2017-04-06</t>
  </si>
  <si>
    <t>COMSA Sucursal Danmark Filial af COMSA, S.A., Spanien</t>
  </si>
  <si>
    <t>C/O 360 Law Firm, C/O 360 Law Firm - Lautrupsgade 7 - 3. tv - 2100 København Ø</t>
  </si>
  <si>
    <t>Filial af udenlandsk aktieselskab, kommanditakties</t>
  </si>
  <si>
    <t>29205272</t>
  </si>
  <si>
    <t>2005-12-02</t>
  </si>
  <si>
    <t>Nordstern ApS</t>
  </si>
  <si>
    <t>Havnen 5 - 8700 Horsens</t>
  </si>
  <si>
    <t>8700</t>
  </si>
  <si>
    <t>Horsens</t>
  </si>
  <si>
    <t>info@nordstern.dk</t>
  </si>
  <si>
    <t>47982715</t>
  </si>
  <si>
    <t>1972-11-17</t>
  </si>
  <si>
    <t>LM|Pihl A/S</t>
  </si>
  <si>
    <t>28487045</t>
  </si>
  <si>
    <t>2005-02-09</t>
  </si>
  <si>
    <t>FJORDBAK BYG A/S</t>
  </si>
  <si>
    <t>Hirtshalsvej 246 - 9800 Hjørring</t>
  </si>
  <si>
    <t>30358562</t>
  </si>
  <si>
    <t>2007-03-16</t>
  </si>
  <si>
    <t>SB ENTREPRISE ApS</t>
  </si>
  <si>
    <t>Thorsvej 14A - 4100 Ringsted</t>
  </si>
  <si>
    <t>4100</t>
  </si>
  <si>
    <t>Ringsted</t>
  </si>
  <si>
    <t>69906690</t>
  </si>
  <si>
    <t>tbe@sb-entreprise.dk</t>
  </si>
  <si>
    <t>26368006</t>
  </si>
  <si>
    <t>2001-12-12</t>
  </si>
  <si>
    <t>BYGGEFIRMAET LOGIK &amp; CO. A/S</t>
  </si>
  <si>
    <t>Ryesgade 23 - 2200 København N</t>
  </si>
  <si>
    <t>2200</t>
  </si>
  <si>
    <t>København N</t>
  </si>
  <si>
    <t>35241103</t>
  </si>
  <si>
    <t>29603413</t>
  </si>
  <si>
    <t>2006-05-22</t>
  </si>
  <si>
    <t>K.G. HANSEN &amp; SØNNER A/S</t>
  </si>
  <si>
    <t>Odinsvej 8 - 7200 Grindsted</t>
  </si>
  <si>
    <t>7200</t>
  </si>
  <si>
    <t>Grindsted</t>
  </si>
  <si>
    <t>70157020</t>
  </si>
  <si>
    <t>kg@kgh.dk</t>
  </si>
  <si>
    <t>19300684</t>
  </si>
  <si>
    <t>1996-05-09</t>
  </si>
  <si>
    <t>LÅSBY MURER- OG TØMRERFORRETNING ApS</t>
  </si>
  <si>
    <t>Vidkærvej 48 - 8464 Galten</t>
  </si>
  <si>
    <t>8464</t>
  </si>
  <si>
    <t>Galten</t>
  </si>
  <si>
    <t>86943062</t>
  </si>
  <si>
    <t>26928516</t>
  </si>
  <si>
    <t>2002-12-20</t>
  </si>
  <si>
    <t>JDN Byg A/S</t>
  </si>
  <si>
    <t>Sintrupvej 55 - 8220 Brabrand</t>
  </si>
  <si>
    <t>86681999</t>
  </si>
  <si>
    <t>jdn@jdnbyg.dk</t>
  </si>
  <si>
    <t>63715018</t>
  </si>
  <si>
    <t>1980-12-18</t>
  </si>
  <si>
    <t>STORE-HEDEBYG ENTREPRISE A/S</t>
  </si>
  <si>
    <t>Kildeager 1 - 2680 Solrød Strand</t>
  </si>
  <si>
    <t>2680</t>
  </si>
  <si>
    <t>Solrød Strand</t>
  </si>
  <si>
    <t>56140931</t>
  </si>
  <si>
    <t>15000945</t>
  </si>
  <si>
    <t>1991-01-01</t>
  </si>
  <si>
    <t>ENTREPRENØRFIRMAET JENS MØLLER, GUDHJEM A/S</t>
  </si>
  <si>
    <t>Stationsvej 7 - 3760 Gudhjem</t>
  </si>
  <si>
    <t>3760</t>
  </si>
  <si>
    <t>Gudhjem</t>
  </si>
  <si>
    <t>56485117</t>
  </si>
  <si>
    <t>jmg@jmg-as.dk</t>
  </si>
  <si>
    <t>12036647</t>
  </si>
  <si>
    <t>1988-04-15</t>
  </si>
  <si>
    <t>NCO BYG AARS A/S</t>
  </si>
  <si>
    <t>Vestvej 5 - 9600 Aars</t>
  </si>
  <si>
    <t>98622455</t>
  </si>
  <si>
    <t>info@ncogruppen.dk</t>
  </si>
  <si>
    <t>12783671</t>
  </si>
  <si>
    <t>1989-02-23</t>
  </si>
  <si>
    <t>Entreprenør og murerfirmaet Bisgaard - Kristian Hansen ApS</t>
  </si>
  <si>
    <t>Toftegaardsvej 1 - 9620 Aalestrup</t>
  </si>
  <si>
    <t>9620</t>
  </si>
  <si>
    <t>Aalestrup</t>
  </si>
  <si>
    <t>98648236</t>
  </si>
  <si>
    <t>karl@kristianhansenaps.dk</t>
  </si>
  <si>
    <t>33500750</t>
  </si>
  <si>
    <t>2011-02-18</t>
  </si>
  <si>
    <t>M&amp;T Totalentreprise A/S</t>
  </si>
  <si>
    <t>Museumsgade 12 - 7400 Herning</t>
  </si>
  <si>
    <t>32138039</t>
  </si>
  <si>
    <t>2009-04-22</t>
  </si>
  <si>
    <t>MYHLENBERG BYG A/S</t>
  </si>
  <si>
    <t>Myhlenbergvej 56 - 9510 Arden</t>
  </si>
  <si>
    <t>9510</t>
  </si>
  <si>
    <t>Arden</t>
  </si>
  <si>
    <t>98561211</t>
  </si>
  <si>
    <t>myhlenberg@myhlenberg.dk</t>
  </si>
  <si>
    <t>32320724</t>
  </si>
  <si>
    <t>2011-02-03</t>
  </si>
  <si>
    <t>FREDBORG A/S</t>
  </si>
  <si>
    <t>Nørremarkvej 14 - Nr. Rind - 8832 Skals</t>
  </si>
  <si>
    <t>8832</t>
  </si>
  <si>
    <t>Skals</t>
  </si>
  <si>
    <t>30928212</t>
  </si>
  <si>
    <t>thomas@fredborg.dk</t>
  </si>
  <si>
    <t>14729984</t>
  </si>
  <si>
    <t>1990-11-01</t>
  </si>
  <si>
    <t>EMR, MURER &amp; ENTREPRENØR A/S</t>
  </si>
  <si>
    <t>Falkevej 28 - 8766 Nørre Snede</t>
  </si>
  <si>
    <t>8766</t>
  </si>
  <si>
    <t>Nørre Snede</t>
  </si>
  <si>
    <t>32308554</t>
  </si>
  <si>
    <t>2014-02-01</t>
  </si>
  <si>
    <t>CNBT DK ApS</t>
  </si>
  <si>
    <t>Carl Jacobsens Vej 16 - 2500 Valby</t>
  </si>
  <si>
    <t>2500</t>
  </si>
  <si>
    <t>Valby</t>
  </si>
  <si>
    <t>76568510</t>
  </si>
  <si>
    <t>1984-12-19</t>
  </si>
  <si>
    <t>ENTREPRENØRFIRMAET POUL ERIK NIELSEN A/S</t>
  </si>
  <si>
    <t>Halsvej 190 - V Hassing - 9310 Vodskov</t>
  </si>
  <si>
    <t>9310</t>
  </si>
  <si>
    <t>Vodskov</t>
  </si>
  <si>
    <t>98256742</t>
  </si>
  <si>
    <t>18182882</t>
  </si>
  <si>
    <t>1994-12-02</t>
  </si>
  <si>
    <t>VENDIA HUSET A/S</t>
  </si>
  <si>
    <t>Lille Rugholmvej 8 - 9830 Tårs</t>
  </si>
  <si>
    <t>9830</t>
  </si>
  <si>
    <t>Tårs</t>
  </si>
  <si>
    <t>98961055</t>
  </si>
  <si>
    <t>18309882</t>
  </si>
  <si>
    <t>1995-01-03</t>
  </si>
  <si>
    <t>PREBEN JØRGENSEN HUSE A/S</t>
  </si>
  <si>
    <t>Gammelmarksvej 27 - 7100 Vejle</t>
  </si>
  <si>
    <t>7100</t>
  </si>
  <si>
    <t>Vejle</t>
  </si>
  <si>
    <t>75805171</t>
  </si>
  <si>
    <t>info@pj-huse.dk</t>
  </si>
  <si>
    <t>26428424</t>
  </si>
  <si>
    <t>2002-01-01</t>
  </si>
  <si>
    <t>ZÜBLIN A/S</t>
  </si>
  <si>
    <t>Hæstvej 46D - 8380 Trige</t>
  </si>
  <si>
    <t>8380</t>
  </si>
  <si>
    <t>Trige</t>
  </si>
  <si>
    <t>86121582</t>
  </si>
  <si>
    <t>27613373</t>
  </si>
  <si>
    <t>2004-02-26</t>
  </si>
  <si>
    <t>VIDA ApS</t>
  </si>
  <si>
    <t>Ellehammersvej 6C - 3000 Helsingør</t>
  </si>
  <si>
    <t>3000</t>
  </si>
  <si>
    <t>Helsingør</t>
  </si>
  <si>
    <t>49707826</t>
  </si>
  <si>
    <t>31764319</t>
  </si>
  <si>
    <t>2008-09-26</t>
  </si>
  <si>
    <t>KNUDSGAARD A/S</t>
  </si>
  <si>
    <t>Østergårdsvej 5 - 7 - Dommerby - 7840 Højslev</t>
  </si>
  <si>
    <t>7840</t>
  </si>
  <si>
    <t>Højslev</t>
  </si>
  <si>
    <t>97536611</t>
  </si>
  <si>
    <t>32277802</t>
  </si>
  <si>
    <t>2009-06-30</t>
  </si>
  <si>
    <t>LIND &amp; RISØR A/S</t>
  </si>
  <si>
    <t>Erik Husfeldts Vej 9 - Høje Taastr. - 2630 Taastrup</t>
  </si>
  <si>
    <t>43322000</t>
  </si>
  <si>
    <t>12245343</t>
  </si>
  <si>
    <t>JCN BOLIG A/S</t>
  </si>
  <si>
    <t>J. Chr. Nielsens Vej 1 - Timring - 7480 Vildbjerg</t>
  </si>
  <si>
    <t>7480</t>
  </si>
  <si>
    <t>Vildbjerg</t>
  </si>
  <si>
    <t>13190631</t>
  </si>
  <si>
    <t>1989-06-30</t>
  </si>
  <si>
    <t>AKTIESELSKABET TRIGON</t>
  </si>
  <si>
    <t>Knivholtvej 45 - 9900 Frederikshavn</t>
  </si>
  <si>
    <t>9900</t>
  </si>
  <si>
    <t>Frederikshavn</t>
  </si>
  <si>
    <t>98426677</t>
  </si>
  <si>
    <t>trigon@trigon.dk</t>
  </si>
  <si>
    <t>16127493</t>
  </si>
  <si>
    <t>1992-03-25</t>
  </si>
  <si>
    <t>BACH BYG A/S</t>
  </si>
  <si>
    <t>Farvervej 1 - 8800 Viborg</t>
  </si>
  <si>
    <t>8800</t>
  </si>
  <si>
    <t>Viborg</t>
  </si>
  <si>
    <t>27543367</t>
  </si>
  <si>
    <t>2004-01-01</t>
  </si>
  <si>
    <t>KAJ OVE MADSEN A/S AARHUS</t>
  </si>
  <si>
    <t>Læsøvej 6 - 8382 Hinnerup</t>
  </si>
  <si>
    <t>86167770</t>
  </si>
  <si>
    <t>36488905</t>
  </si>
  <si>
    <t>2015-01-01</t>
  </si>
  <si>
    <t>NYRUP HANSEN A/S</t>
  </si>
  <si>
    <t>Lille Blødevej 8A - 3600 Frederikssund</t>
  </si>
  <si>
    <t>3600</t>
  </si>
  <si>
    <t>Frederikssund</t>
  </si>
  <si>
    <t>post@nyruphansen.dk</t>
  </si>
  <si>
    <t>70966719</t>
  </si>
  <si>
    <t>1982-11-02</t>
  </si>
  <si>
    <t>M. THOMSEN STØTT. AALBORG A/S</t>
  </si>
  <si>
    <t>Halkjærvej 19 - 9200 Aalborg SV</t>
  </si>
  <si>
    <t>96314020</t>
  </si>
  <si>
    <t>info@mts-aalborg.dk</t>
  </si>
  <si>
    <t>10798590</t>
  </si>
  <si>
    <t>1987-05-01</t>
  </si>
  <si>
    <t>E.K. ENTREPRISE A/S</t>
  </si>
  <si>
    <t>Kuldyssen 8 - 2630 Taastrup</t>
  </si>
  <si>
    <t>73460417</t>
  </si>
  <si>
    <t>1984-01-05</t>
  </si>
  <si>
    <t>FUTURE RUNDBUEHALLER ApS</t>
  </si>
  <si>
    <t>Grimlundvej 5 - Hoven - 6880 Tarm</t>
  </si>
  <si>
    <t>6880</t>
  </si>
  <si>
    <t>Tarm</t>
  </si>
  <si>
    <t>32311903</t>
  </si>
  <si>
    <t>2011-02-10</t>
  </si>
  <si>
    <t>CJ Anlæg Bolig Erhverv A/S</t>
  </si>
  <si>
    <t>Erritsø Møllebanke 10 - Erritsø - 7000 Fredericia</t>
  </si>
  <si>
    <t>7000</t>
  </si>
  <si>
    <t>Fredericia</t>
  </si>
  <si>
    <t>Fritekst</t>
  </si>
  <si>
    <t>Antal ansatte</t>
  </si>
  <si>
    <t>20-49, 50-99, 100-199, 200-499</t>
  </si>
  <si>
    <t>Virksomhedsstatus</t>
  </si>
  <si>
    <t>normal</t>
  </si>
  <si>
    <t>Virksomhedsmarkering</t>
  </si>
  <si>
    <t>uden_reklamebeskyttelse</t>
  </si>
  <si>
    <t>Branchekode</t>
  </si>
  <si>
    <t>410000</t>
  </si>
  <si>
    <t>Årsværk</t>
  </si>
  <si>
    <t>-</t>
  </si>
  <si>
    <t>Denne gruppe har jeg ændret fra "Ophørsdag" = Årsværk. Årsværk = hvor mange fuldtidsstillinger en virksomhed har på et år. (aug 2025)</t>
  </si>
  <si>
    <t>Mangler data eller er antallet af ansatte faldet til færre end målgruppe, får de en "-"</t>
  </si>
  <si>
    <t>Beskrivelse</t>
  </si>
  <si>
    <t>Entreprenør- og byggevirksomhed med fokus på totalentrepriser</t>
  </si>
  <si>
    <t>Entreprenør og projektudvikler inden for større byggeprojekter</t>
  </si>
  <si>
    <t>Byggevirksomhed med renovering og nybyggeri</t>
  </si>
  <si>
    <t>Investering og ejendomsadministration</t>
  </si>
  <si>
    <t>Producent af både og maritimt udstyr</t>
  </si>
  <si>
    <t>Producent af præfabrikerede typehuse</t>
  </si>
  <si>
    <t>Entreprenørfirma med lokale byggeprojekter</t>
  </si>
  <si>
    <t>Byggefirma med renovering og ombygning</t>
  </si>
  <si>
    <t>Totalentreprenør i boligbyggeri</t>
  </si>
  <si>
    <t>Produktion og montage af altaner</t>
  </si>
  <si>
    <t>Storentreprenør inden for anlæg og byggeri</t>
  </si>
  <si>
    <t>Byggefirma med entrepriser og renovering</t>
  </si>
  <si>
    <t>Tømrer- og snedkeropgaver</t>
  </si>
  <si>
    <t>Renovering og bæredygtige byggeopgaver</t>
  </si>
  <si>
    <t>Mindre bygge- og renoveringsfirma</t>
  </si>
  <si>
    <t>Totalentreprenør i erhvervsbyggeri</t>
  </si>
  <si>
    <t>Entreprise i bolig-, erhvervs- og anlægsprojekter</t>
  </si>
  <si>
    <t>Byggefirma med mindre byggeprojekter</t>
  </si>
  <si>
    <t>Rensning og behandling af facader</t>
  </si>
  <si>
    <t>Montage af betonelementer</t>
  </si>
  <si>
    <t>Ejendomsudvikling og erhvervsbyggeri</t>
  </si>
  <si>
    <t>Entreprenør inden større byggeopgaver</t>
  </si>
  <si>
    <t>Producent af typehuse</t>
  </si>
  <si>
    <t>Murer- og entreprenøropgaver</t>
  </si>
  <si>
    <t>Entreprenør med lokale byggeprojekter</t>
  </si>
  <si>
    <t>Murer- og entreprenørarbejde</t>
  </si>
  <si>
    <t>Entreprenør i bolig- og erhvervsbyggeri</t>
  </si>
  <si>
    <t>Anlægs- og bygningsentreprenør</t>
  </si>
  <si>
    <t>Totalentreprenør inden byggeprojekter</t>
  </si>
  <si>
    <t>Facade- og montagefirma</t>
  </si>
  <si>
    <t>Koncern med industri- og ejendomsaktiviteter</t>
  </si>
  <si>
    <t>Byggefirma med renovering og nybyg</t>
  </si>
  <si>
    <t>Ejendoms- og byggeudvikling</t>
  </si>
  <si>
    <t>Producent af rundbuehaller</t>
  </si>
  <si>
    <t>Entreprise og renoveringsarbejde</t>
  </si>
  <si>
    <t>Entreprisevirksomhed i byggeri</t>
  </si>
  <si>
    <t>Murer- og entreprenørfirma</t>
  </si>
  <si>
    <t>Anlægs- og entreprenørfirma</t>
  </si>
  <si>
    <t>Tømrer- og byggeopgaver</t>
  </si>
  <si>
    <t>Montage inden for byggeri</t>
  </si>
  <si>
    <t>Entreprenør med større byggeprojekter</t>
  </si>
  <si>
    <t>Entreprise og byggeprojekter</t>
  </si>
  <si>
    <t>Totalentreprise og byggeprojekter</t>
  </si>
  <si>
    <t>Boligbygger og entreprenør</t>
  </si>
  <si>
    <t>Producent af arkitekttegnede huse</t>
  </si>
  <si>
    <t>Arkitekt- og byggefirma</t>
  </si>
  <si>
    <t>Boligudvikling og nybyggeri</t>
  </si>
  <si>
    <t>Byggefirma med mindre entrepriser</t>
  </si>
  <si>
    <t>Tag- og facadeentreprenør</t>
  </si>
  <si>
    <t>Byggefirma med boligbyggeri</t>
  </si>
  <si>
    <t>Boligbyggeri i totalentreprise</t>
  </si>
  <si>
    <t>Entreprisevirksomhed med erhvervsbyggeri</t>
  </si>
  <si>
    <t>Entreprise og projektledelse</t>
  </si>
  <si>
    <t>Totalentreprenør i byggebranchen</t>
  </si>
  <si>
    <t>Entreprisevirksomhed i Aarhus</t>
  </si>
  <si>
    <t>Entreprenør inden anlæg og byggeri</t>
  </si>
  <si>
    <t>Byggefirma med lokale opgaver</t>
  </si>
  <si>
    <t>Producent af energihuse</t>
  </si>
  <si>
    <t>Entreprisevirksomhed med totalentrepriser</t>
  </si>
  <si>
    <t>Montagefirma i byggebranchen</t>
  </si>
  <si>
    <t>Typehusbyggeri og totalentreprise</t>
  </si>
  <si>
    <t>Entreprenør i større byggeprojekter</t>
  </si>
  <si>
    <t>Tømrer- og murerforretning</t>
  </si>
  <si>
    <t>Entreprisevirksomhed i Aalborg</t>
  </si>
  <si>
    <t>Entreprise- og projektstyring</t>
  </si>
  <si>
    <t>Totalentreprenør i nybyggeri</t>
  </si>
  <si>
    <t>Entreprise og byggerådgivning</t>
  </si>
  <si>
    <t>Byggefirma i boligsektoren</t>
  </si>
  <si>
    <t>Boligbyggeri og projektstyring</t>
  </si>
  <si>
    <t>Typehusleverandør</t>
  </si>
  <si>
    <t>Totalentreprenør i husbyggeri</t>
  </si>
  <si>
    <t>Totalentreprenør i byggeprojekter</t>
  </si>
  <si>
    <t>Boligbyggeri og udvikling</t>
  </si>
  <si>
    <t>Entreprisevirksomhed i byggebranchen</t>
  </si>
  <si>
    <t>Selskab uden aktiv drift</t>
  </si>
  <si>
    <t>Producent af glas- og aluminiumsløsninger</t>
  </si>
  <si>
    <t>Projektudvikler af boliger og erhverv</t>
  </si>
  <si>
    <t>Producent af fritidshuse</t>
  </si>
  <si>
    <t>Anlægs- og byggeentreprenør</t>
  </si>
  <si>
    <t>Byggefirma med totalentrepriser</t>
  </si>
  <si>
    <t>Typehusproducent</t>
  </si>
  <si>
    <t>Industribyggeri og montage</t>
  </si>
  <si>
    <t>Producent af type- og modulhuse</t>
  </si>
  <si>
    <t>Bygge- og montagevirksomhed</t>
  </si>
  <si>
    <t>Kloak- og anlægsentreprise</t>
  </si>
  <si>
    <t>Producent af type- og specialhuse</t>
  </si>
  <si>
    <t>Bygge- og projektudviklingsfirma</t>
  </si>
  <si>
    <t>Entreprise i beton- og byggeri</t>
  </si>
  <si>
    <t>Byggevirksomhed med bæredygtigt fokus</t>
  </si>
  <si>
    <t>Multidisciplinær entreprenørvirksomhed</t>
  </si>
  <si>
    <t>Totalentreprenør i energi- og biomasseanlæg</t>
  </si>
  <si>
    <t>Små opgaver</t>
  </si>
  <si>
    <t>Service</t>
  </si>
  <si>
    <t>Små opgaver, Entreprise</t>
  </si>
  <si>
    <t>Entreprise</t>
  </si>
  <si>
    <t>Service, Små opgaver</t>
  </si>
  <si>
    <t>Entreprise, Små opgaver</t>
  </si>
  <si>
    <t>Entreprise, Service</t>
  </si>
  <si>
    <t>Service, Entreprise</t>
  </si>
  <si>
    <t>Ingen aktiv drift (Entreprise-profil oprindelig)</t>
  </si>
  <si>
    <t>International entreprenør inden for infrastruktur</t>
  </si>
  <si>
    <t>Entreprisevirksomhed inden for erhvervsbyggeri</t>
  </si>
  <si>
    <t>Opførelse af bygninger</t>
  </si>
  <si>
    <t>Andre specialiseret byggeaktiviteter</t>
  </si>
  <si>
    <t>Forberede byggepladsarbejder</t>
  </si>
  <si>
    <t>Tømere -og bygningssnedker</t>
  </si>
  <si>
    <t>Konservering resturation af kulturarv</t>
  </si>
  <si>
    <t>Rådgivende ingniøraktivitet</t>
  </si>
  <si>
    <t>Landaskabspleje</t>
  </si>
  <si>
    <t>Andre anlægsaktivitet</t>
  </si>
  <si>
    <t>Gennemførelse af byggeprojekter</t>
  </si>
  <si>
    <t>Anlæg af ledningsnet til væsker</t>
  </si>
  <si>
    <t>Murerabejde</t>
  </si>
  <si>
    <t>Rådgivende ingeniøraktivitet inden for fabriks anlæg</t>
  </si>
  <si>
    <t>Specialiserede anlægsaktiviteter</t>
  </si>
  <si>
    <t>Anden tekniskrådgivning</t>
  </si>
  <si>
    <t>Anlæg af veje og motorveje</t>
  </si>
  <si>
    <t>Udførelse af gulvbelædning og vægbeklædning</t>
  </si>
  <si>
    <t>Installation of vvs-, varme og klimaanlæg</t>
  </si>
  <si>
    <t>Geologiske undersøgelser, prospeketering, landskab m.m</t>
  </si>
  <si>
    <t>Nedrivning</t>
  </si>
  <si>
    <t>Andre speciserede bygningsarbejde</t>
  </si>
  <si>
    <t>Total</t>
  </si>
  <si>
    <t>20 - 499</t>
  </si>
  <si>
    <t>Normal</t>
  </si>
  <si>
    <t>irksomhedsmarketing</t>
  </si>
  <si>
    <t>Uden reklamebeskyttelse</t>
  </si>
  <si>
    <t>Kriterier:</t>
  </si>
  <si>
    <t>34991014</t>
  </si>
  <si>
    <t>1963-06-10</t>
  </si>
  <si>
    <t>DAV NORDIC A/S</t>
  </si>
  <si>
    <t>Tietgensvej 12 - 8600 Silkeborg</t>
  </si>
  <si>
    <t>421100 Anlæg af veje og motorveje</t>
  </si>
  <si>
    <t>86822900</t>
  </si>
  <si>
    <t>info@davnordic.dk</t>
  </si>
  <si>
    <t>28986564</t>
  </si>
  <si>
    <t>2005-09-08</t>
  </si>
  <si>
    <t>FEMERN BÆLT A/S</t>
  </si>
  <si>
    <t>Vester Søgade 10 - 1601 København V</t>
  </si>
  <si>
    <t>1601</t>
  </si>
  <si>
    <t>København V</t>
  </si>
  <si>
    <t>33416300</t>
  </si>
  <si>
    <t>29307237</t>
  </si>
  <si>
    <t>2006-01-17</t>
  </si>
  <si>
    <t>KØLKÆR ENTREPRENØR A/S</t>
  </si>
  <si>
    <t>Resenborgvej 12A - Kølkær - 7400 Herning</t>
  </si>
  <si>
    <t>97147430</t>
  </si>
  <si>
    <t>bf@ke-as.dk</t>
  </si>
  <si>
    <t>73978319</t>
  </si>
  <si>
    <t>1983-12-14</t>
  </si>
  <si>
    <t>MOGENS HANSEN ENTREPRENØRFIRMA TAASTRUP ApS</t>
  </si>
  <si>
    <t>Bygaden 81 - Kraghave - 2630 Taastrup</t>
  </si>
  <si>
    <t>43999573</t>
  </si>
  <si>
    <t>36535709</t>
  </si>
  <si>
    <t>2015-02-09</t>
  </si>
  <si>
    <t>MSE ENTREPRISE A/S</t>
  </si>
  <si>
    <t>Alstrup Strandvej 2B - 4840 Nørre Alslev</t>
  </si>
  <si>
    <t>4840</t>
  </si>
  <si>
    <t>Nørre Alslev</t>
  </si>
  <si>
    <t>66643719</t>
  </si>
  <si>
    <t>1981-01-02</t>
  </si>
  <si>
    <t>MUNCK Civil Engineering Arctic A/S</t>
  </si>
  <si>
    <t>Toftegårdsvej 18 - Hjulby - 5800 Nyborg</t>
  </si>
  <si>
    <t>5800</t>
  </si>
  <si>
    <t>Nyborg</t>
  </si>
  <si>
    <t>63313535</t>
  </si>
  <si>
    <t>mail@munck.dk</t>
  </si>
  <si>
    <t>37590819</t>
  </si>
  <si>
    <t>1972-10-06</t>
  </si>
  <si>
    <t>POUL HANSEN ENTREPRENØRER A/S</t>
  </si>
  <si>
    <t>Vestergade 93 - 7200 Grindsted</t>
  </si>
  <si>
    <t>75320411</t>
  </si>
  <si>
    <t>eyh@phe.dk</t>
  </si>
  <si>
    <t>26994896</t>
  </si>
  <si>
    <t>Saferoad Services A/S</t>
  </si>
  <si>
    <t>Tigervej 12 - 4600 Køge</t>
  </si>
  <si>
    <t>4600</t>
  </si>
  <si>
    <t>Køge</t>
  </si>
  <si>
    <t>58360099</t>
  </si>
  <si>
    <t>info@saferoad-services.dk</t>
  </si>
  <si>
    <t>Funktioner</t>
  </si>
  <si>
    <t>Produktion og installation af trafik- og vejafskærmning</t>
  </si>
  <si>
    <t>Udvikling og anlæg af Femern Bælt tunnelforbindelsen</t>
  </si>
  <si>
    <t>Entreprenørarbejde inden for jord, kloak og mindre anlægsprojekter</t>
  </si>
  <si>
    <t>Mindre entreprenørfirma med murer- og anlægsopgaver</t>
  </si>
  <si>
    <t>Totalentreprise og entreprenøropgaver inden byggeri</t>
  </si>
  <si>
    <t>Anlægs- og infrastrukturentreprenør i arktiske områder</t>
  </si>
  <si>
    <t>Entreprenørvirksomhed med anlæg, beton og jordarbejde</t>
  </si>
  <si>
    <t>Service og vedligehold af vejskilte, afmærkning og trafiksikkerhed</t>
  </si>
  <si>
    <t>67356616</t>
  </si>
  <si>
    <t>1981-10-01</t>
  </si>
  <si>
    <t>A/S MORTENSEN &amp; NYMARK</t>
  </si>
  <si>
    <t>Lodsholmvej 41 - 43 - 9270 Klarup</t>
  </si>
  <si>
    <t>9270</t>
  </si>
  <si>
    <t>Klarup</t>
  </si>
  <si>
    <t>422100 Anlæg af ledningsnet til væsker</t>
  </si>
  <si>
    <t>98318400</t>
  </si>
  <si>
    <t>26028663</t>
  </si>
  <si>
    <t>2001-05-08</t>
  </si>
  <si>
    <t>ABC ApS</t>
  </si>
  <si>
    <t>C/O Klaus palskov, C/O Klaus palskov - Brændmosevej 26 - 2690 Karlslunde</t>
  </si>
  <si>
    <t>2690</t>
  </si>
  <si>
    <t>Karlslunde</t>
  </si>
  <si>
    <t>26688507</t>
  </si>
  <si>
    <t>BRDR. NØRULF A/S</t>
  </si>
  <si>
    <t>Stolbro Gade 23 - 6430 Nordborg</t>
  </si>
  <si>
    <t>6430</t>
  </si>
  <si>
    <t>Nordborg</t>
  </si>
  <si>
    <t>34456690</t>
  </si>
  <si>
    <t>2012-03-09</t>
  </si>
  <si>
    <t>DANSK ENTREPRENØRSERVICE ApS</t>
  </si>
  <si>
    <t>Vestermarken 10 - 6670 Holsted</t>
  </si>
  <si>
    <t>6670</t>
  </si>
  <si>
    <t>Holsted</t>
  </si>
  <si>
    <t>25799038</t>
  </si>
  <si>
    <t>2000-12-21</t>
  </si>
  <si>
    <t>DRENGSTED ENTREPRENØRFIRMA A/S</t>
  </si>
  <si>
    <t>Drengstedvej 36 - Drengsted - 6780 Skærbæk</t>
  </si>
  <si>
    <t>6780</t>
  </si>
  <si>
    <t>Skærbæk</t>
  </si>
  <si>
    <t>47124719</t>
  </si>
  <si>
    <t>1973-09-28</t>
  </si>
  <si>
    <t>Entreprenør Otto Chrestensen A/S</t>
  </si>
  <si>
    <t>Stensbækvej 16 - Arnum - 6510 Gram</t>
  </si>
  <si>
    <t>6510</t>
  </si>
  <si>
    <t>Gram</t>
  </si>
  <si>
    <t>74826490</t>
  </si>
  <si>
    <t>25474139</t>
  </si>
  <si>
    <t>2000-06-28</t>
  </si>
  <si>
    <t>ENTREPRENØR PETER MEYER A/S</t>
  </si>
  <si>
    <t>Foldagervej 7 - 4623 Lille Skensved</t>
  </si>
  <si>
    <t>4623</t>
  </si>
  <si>
    <t>Lille Skensved</t>
  </si>
  <si>
    <t>56562038</t>
  </si>
  <si>
    <t>35644989</t>
  </si>
  <si>
    <t>2014-01-17</t>
  </si>
  <si>
    <t>ENTREPRENØR SØREN K ApS</t>
  </si>
  <si>
    <t>Søndergårdsvej 19 - 7430 Ikast</t>
  </si>
  <si>
    <t>51362519</t>
  </si>
  <si>
    <t>1984-03-25</t>
  </si>
  <si>
    <t>ENTREPRENØRFIRMA BRDR. ANDERSEN RANDERS A/S</t>
  </si>
  <si>
    <t>Agerskellet 24 - 8920 Randers NV</t>
  </si>
  <si>
    <t>8920</t>
  </si>
  <si>
    <t>Randers NV</t>
  </si>
  <si>
    <t>86429355</t>
  </si>
  <si>
    <t>28133111</t>
  </si>
  <si>
    <t>2004-10-20</t>
  </si>
  <si>
    <t>ENTREPRENØRFIRMA BRDR. MØLLER A/S</t>
  </si>
  <si>
    <t>Edwin Rahrs Vej 77 - 8220 Brabrand</t>
  </si>
  <si>
    <t>87476060</t>
  </si>
  <si>
    <t>28890656</t>
  </si>
  <si>
    <t>2005-06-26</t>
  </si>
  <si>
    <t>ENTREPRENØRFIRMAET ERIK PEDERSEN A/S</t>
  </si>
  <si>
    <t>Kirkegade 1 - 8950 Ørsted</t>
  </si>
  <si>
    <t>8950</t>
  </si>
  <si>
    <t>Ørsted</t>
  </si>
  <si>
    <t>86488004</t>
  </si>
  <si>
    <t>39174219</t>
  </si>
  <si>
    <t>2017-12-19</t>
  </si>
  <si>
    <t>EWII Infrastruktur A/S</t>
  </si>
  <si>
    <t>Kokbjerg 30 - 6000 Kolding</t>
  </si>
  <si>
    <t>27278825</t>
  </si>
  <si>
    <t>2003-07-29</t>
  </si>
  <si>
    <t>GP-ENTREPRISE ApS</t>
  </si>
  <si>
    <t>Aalborgvej 162 - Kistrup - 8830 Tjele</t>
  </si>
  <si>
    <t>8830</t>
  </si>
  <si>
    <t>Tjele</t>
  </si>
  <si>
    <t>86626312</t>
  </si>
  <si>
    <t>gp@gp-enterprise.dk</t>
  </si>
  <si>
    <t>30727746</t>
  </si>
  <si>
    <t>2007-06-29</t>
  </si>
  <si>
    <t>GSCANLÆG A/S</t>
  </si>
  <si>
    <t>Rørvej 11 - 4281 Gørlev</t>
  </si>
  <si>
    <t>4281</t>
  </si>
  <si>
    <t>Gørlev</t>
  </si>
  <si>
    <t>58859272</t>
  </si>
  <si>
    <t>gsc@gscbyg.dk</t>
  </si>
  <si>
    <t>86078910</t>
  </si>
  <si>
    <t>1979-06-06</t>
  </si>
  <si>
    <t>HANS H. PEDERSEN ApS, ENTREPRENØR</t>
  </si>
  <si>
    <t>Skelvænget 1 - 5854 Gislev</t>
  </si>
  <si>
    <t>5854</t>
  </si>
  <si>
    <t>Gislev</t>
  </si>
  <si>
    <t>62291717</t>
  </si>
  <si>
    <t>20164735</t>
  </si>
  <si>
    <t>1997-06-26</t>
  </si>
  <si>
    <t>HENNINGS KLOAKRENS A/S</t>
  </si>
  <si>
    <t>Svalehøjvej 13 - 3650 Ølstykke</t>
  </si>
  <si>
    <t>3650</t>
  </si>
  <si>
    <t>Ølstykke</t>
  </si>
  <si>
    <t>47108509</t>
  </si>
  <si>
    <t>winnie@hennings-kloakrens.dk</t>
  </si>
  <si>
    <t>33367066</t>
  </si>
  <si>
    <t>2010-12-14</t>
  </si>
  <si>
    <t>HMC Byg &amp; Anlæg driftsmateriel HMN A/S</t>
  </si>
  <si>
    <t>Himmerlandsvej 16B - 9670 Løgstør</t>
  </si>
  <si>
    <t>9670</t>
  </si>
  <si>
    <t>Løgstør</t>
  </si>
  <si>
    <t>96668800</t>
  </si>
  <si>
    <t>hc@hmn-as.dk</t>
  </si>
  <si>
    <t>18296675</t>
  </si>
  <si>
    <t>1994-12-30</t>
  </si>
  <si>
    <t>HOLBØLL A/S</t>
  </si>
  <si>
    <t>Lov Enghavevej 26 - Myrup - 4700 Næstved</t>
  </si>
  <si>
    <t>55761101</t>
  </si>
  <si>
    <t>holboell@holboell.dk</t>
  </si>
  <si>
    <t>25470125</t>
  </si>
  <si>
    <t>2000-06-27</t>
  </si>
  <si>
    <t>JAN NIELSEN A/S</t>
  </si>
  <si>
    <t>Grønagervej 5 - Varpelev - 4652 Hårlev</t>
  </si>
  <si>
    <t>4652</t>
  </si>
  <si>
    <t>Hårlev</t>
  </si>
  <si>
    <t>56578267</t>
  </si>
  <si>
    <t>16935697</t>
  </si>
  <si>
    <t>1993-03-01</t>
  </si>
  <si>
    <t>JD-CONTRACTOR A/S</t>
  </si>
  <si>
    <t>Nybovej 8 - 9 - 7500 Holstebro</t>
  </si>
  <si>
    <t>mga@jdcon.dk</t>
  </si>
  <si>
    <t>89966310</t>
  </si>
  <si>
    <t>1982-03-16</t>
  </si>
  <si>
    <t>JERNBRO INDUSTRIAL SERVICES A/S</t>
  </si>
  <si>
    <t>Odinsvej 35 - 4100 Ringsted</t>
  </si>
  <si>
    <t>57666000</t>
  </si>
  <si>
    <t>38722654</t>
  </si>
  <si>
    <t>2017-06-19</t>
  </si>
  <si>
    <t>Jokumsen A/S</t>
  </si>
  <si>
    <t>Tinghøjvej 54 - Rødding - 8830 Tjele</t>
  </si>
  <si>
    <t>20215798</t>
  </si>
  <si>
    <t>1997-08-01</t>
  </si>
  <si>
    <t>K. E. ANDERSEN &amp; SØN A/S</t>
  </si>
  <si>
    <t>Gammel Møllevej 78 - 7970 Redsted M</t>
  </si>
  <si>
    <t>7970</t>
  </si>
  <si>
    <t>Redsted M</t>
  </si>
  <si>
    <t>97762206</t>
  </si>
  <si>
    <t>18261634</t>
  </si>
  <si>
    <t>1995-01-11</t>
  </si>
  <si>
    <t>KORINTH ENTREPRENØRFIRMA A/S</t>
  </si>
  <si>
    <t>Hågerupvej 35 - 5600 Faaborg</t>
  </si>
  <si>
    <t>5600</t>
  </si>
  <si>
    <t>Faaborg</t>
  </si>
  <si>
    <t>62641189</t>
  </si>
  <si>
    <t>16682144</t>
  </si>
  <si>
    <t>1993-01-01</t>
  </si>
  <si>
    <t>KTS-ENTREPRISE A/S</t>
  </si>
  <si>
    <t>Industrivej 3 - 3300 Frederiksværk</t>
  </si>
  <si>
    <t>3300</t>
  </si>
  <si>
    <t>Frederiksværk</t>
  </si>
  <si>
    <t>10664195</t>
  </si>
  <si>
    <t>1987-03-01</t>
  </si>
  <si>
    <t>MUNCK HAVNE &amp; ANLÆG A/S</t>
  </si>
  <si>
    <t>65312266</t>
  </si>
  <si>
    <t>30363663</t>
  </si>
  <si>
    <t>2007-03-21</t>
  </si>
  <si>
    <t>NORDJYSK GRUNDVANDSSÆNKNING OG BRØNDBORING ApS</t>
  </si>
  <si>
    <t>C/O Søren Sten, C/O Søren Sten - Nymarksvej 138 - Biersted - 9440 Aabybro</t>
  </si>
  <si>
    <t>9440</t>
  </si>
  <si>
    <t>Aabybro</t>
  </si>
  <si>
    <t>28851782</t>
  </si>
  <si>
    <t>2005-06-22</t>
  </si>
  <si>
    <t>NORDKABEL A/S</t>
  </si>
  <si>
    <t>Vestre Boulevard 13 - 9600 Aars</t>
  </si>
  <si>
    <t>98621445</t>
  </si>
  <si>
    <t>14546294</t>
  </si>
  <si>
    <t>1990-09-27</t>
  </si>
  <si>
    <t>NØRGAARD ANLÆG ApS</t>
  </si>
  <si>
    <t>Ø Vedsted Mark 28 - 6760 Ribe</t>
  </si>
  <si>
    <t>6760</t>
  </si>
  <si>
    <t>Ribe</t>
  </si>
  <si>
    <t>75422785</t>
  </si>
  <si>
    <t>57494018</t>
  </si>
  <si>
    <t>1980-11-25</t>
  </si>
  <si>
    <t>OLS Entreprenørfirma ApS</t>
  </si>
  <si>
    <t>Hvedemarken 27 - Nørlem - 7620 Lemvig</t>
  </si>
  <si>
    <t>7620</t>
  </si>
  <si>
    <t>Lemvig</t>
  </si>
  <si>
    <t>97822588</t>
  </si>
  <si>
    <t>28857837</t>
  </si>
  <si>
    <t>2005-06-17</t>
  </si>
  <si>
    <t>ROP A/S</t>
  </si>
  <si>
    <t>Nyvangsvej 10 - 4160 Herlufmagle</t>
  </si>
  <si>
    <t>4160</t>
  </si>
  <si>
    <t>Herlufmagle</t>
  </si>
  <si>
    <t>57643525</t>
  </si>
  <si>
    <t>24240797</t>
  </si>
  <si>
    <t>1999-10-01</t>
  </si>
  <si>
    <t>SCHANTZ BYG A/S</t>
  </si>
  <si>
    <t>Ortenvej 81 - 6800 Varde</t>
  </si>
  <si>
    <t>6800</t>
  </si>
  <si>
    <t>Varde</t>
  </si>
  <si>
    <t>75223998</t>
  </si>
  <si>
    <t>jh@schantz.dk</t>
  </si>
  <si>
    <t>15217995</t>
  </si>
  <si>
    <t>1991-06-17</t>
  </si>
  <si>
    <t>SCHELLER. HOUGAARD &amp; PETERSEN A/S</t>
  </si>
  <si>
    <t>Vejlegårdsvej 65 - 2665 Vallensbæk Strand</t>
  </si>
  <si>
    <t>2665</t>
  </si>
  <si>
    <t>Vallensbæk Strand</t>
  </si>
  <si>
    <t>43732105</t>
  </si>
  <si>
    <t>15179937</t>
  </si>
  <si>
    <t>SEJLSTRUP ENTREPRENØRFORRETNING A/S</t>
  </si>
  <si>
    <t>Risgårdsvej 64 - Sejlstrup - 9480 Løkken</t>
  </si>
  <si>
    <t>9480</t>
  </si>
  <si>
    <t>Løkken</t>
  </si>
  <si>
    <t>98999188</t>
  </si>
  <si>
    <t>info@sejlstrup.dk</t>
  </si>
  <si>
    <t>14715290</t>
  </si>
  <si>
    <t>1990-12-20</t>
  </si>
  <si>
    <t>SM ENTREPRENØRFIRMA A/S</t>
  </si>
  <si>
    <t>Rybjergvej 35 - Ilbjerg - 7870 Roslev</t>
  </si>
  <si>
    <t>7870</t>
  </si>
  <si>
    <t>Roslev</t>
  </si>
  <si>
    <t>97571263</t>
  </si>
  <si>
    <t>info@sm-roslev.dk</t>
  </si>
  <si>
    <t>25483634</t>
  </si>
  <si>
    <t>2000-06-14</t>
  </si>
  <si>
    <t>SNOLDELEV ENTREPRENØRFIRMA A/S</t>
  </si>
  <si>
    <t>Solrødvej 10 - Snoldelev - 4621 Gadstrup</t>
  </si>
  <si>
    <t>4621</t>
  </si>
  <si>
    <t>Gadstrup</t>
  </si>
  <si>
    <t>46191558</t>
  </si>
  <si>
    <t>25193016</t>
  </si>
  <si>
    <t>2000-02-11</t>
  </si>
  <si>
    <t>THISTED ENTREPRENØRFORRETNING ApS</t>
  </si>
  <si>
    <t>Karetmagervej 9 - Tilsted - 7700 Thisted</t>
  </si>
  <si>
    <t>7700</t>
  </si>
  <si>
    <t>Thisted</t>
  </si>
  <si>
    <t>13760381</t>
  </si>
  <si>
    <t>1989-12-21</t>
  </si>
  <si>
    <t>VAM A/S</t>
  </si>
  <si>
    <t>Limevej 5 - V Alling - 8963 Auning</t>
  </si>
  <si>
    <t>8963</t>
  </si>
  <si>
    <t>Auning</t>
  </si>
  <si>
    <t>86492300</t>
  </si>
  <si>
    <t>36502606</t>
  </si>
  <si>
    <t>2015-01-28</t>
  </si>
  <si>
    <t>VP VILLY POULSEN A/S</t>
  </si>
  <si>
    <t>Holstebrovej 9 - 6900 Skjern</t>
  </si>
  <si>
    <t>6900</t>
  </si>
  <si>
    <t>Skjern</t>
  </si>
  <si>
    <t>40003584</t>
  </si>
  <si>
    <t>2018-10-31</t>
  </si>
  <si>
    <t>VP Villy Poulsen Relining A/S</t>
  </si>
  <si>
    <t>Tjærebyvej 30 - Tjæreby - 4000 Roskilde</t>
  </si>
  <si>
    <t>4000</t>
  </si>
  <si>
    <t>Roskilde</t>
  </si>
  <si>
    <t>30697103</t>
  </si>
  <si>
    <t>2007-06-27</t>
  </si>
  <si>
    <t>ØSBY ENTREPRENØR- OG KLOAKSERVICE ApS</t>
  </si>
  <si>
    <t>Flovtvej 42 - 6100 Haderslev</t>
  </si>
  <si>
    <t>6100</t>
  </si>
  <si>
    <t>Haderslev</t>
  </si>
  <si>
    <t>74584658</t>
  </si>
  <si>
    <t>mogens@osbyek.dk</t>
  </si>
  <si>
    <t>13108242</t>
  </si>
  <si>
    <t>1989-06-26</t>
  </si>
  <si>
    <t>AABYBRO ENTREPRENØRFORRETNING A/S</t>
  </si>
  <si>
    <t>Knøsgårdvej 107 - 9440 Aabybro</t>
  </si>
  <si>
    <t>98241045</t>
  </si>
  <si>
    <t>Special case hvor de har 46 ansatte og 50 årsværk - kan indikere en del overarbejde</t>
  </si>
  <si>
    <t>Special case 15 ansatte 16 årsværk</t>
  </si>
  <si>
    <t>Entreprenørvirksomhed med jord-, kloak- og anlægsopgaver</t>
  </si>
  <si>
    <t>Lokalt entreprenørfirma med mindre anlægsopgaver</t>
  </si>
  <si>
    <t>Entreprenørfirma med jord-, beton- og byggeopgaver</t>
  </si>
  <si>
    <t>Entreprenørvirksomhed med jord- og anlægsprojekter</t>
  </si>
  <si>
    <t>Entreprenørvirksomhed inden jord- og kloakarbejde</t>
  </si>
  <si>
    <t>Entreprenørfirma med mindre anlægsopgaver</t>
  </si>
  <si>
    <t>Entreprenørvirksomhed med jord-, kloak- og betonarbejde</t>
  </si>
  <si>
    <t>Entreprenørvirksomhed med jord- og betonentrepriser</t>
  </si>
  <si>
    <t>Entreprenørfirma med anlægs-, belægnings- og gravearbejde</t>
  </si>
  <si>
    <t>Entreprisevirksomhed med bygge- og anlægsopgaver</t>
  </si>
  <si>
    <t>Anlægsentreprenør med jord-, kloak- og belægningsarbejde</t>
  </si>
  <si>
    <t>Entreprenørfirma med jord-, kloak- og anlægsopgaver</t>
  </si>
  <si>
    <t>Kloakrensning og slamsugning</t>
  </si>
  <si>
    <t>Sø- og havneentreprenør med undervandsarbejde</t>
  </si>
  <si>
    <t>Entreprenørvirksomhed med jord-, kloak- og belægningsopgaver</t>
  </si>
  <si>
    <t>Entreprenør med bygge-, anlægs- og kloakarbejde</t>
  </si>
  <si>
    <t>Entreprisevirksomhed inden byggeprojekter</t>
  </si>
  <si>
    <t>Anlægsentreprenør med havne- og kystbyggeri</t>
  </si>
  <si>
    <t>Entreprenør med jord-, kloak- og belægningsarbejde</t>
  </si>
  <si>
    <t>Entreprisevirksomhed inden byggeriet</t>
  </si>
  <si>
    <t>Rådgivning og byggeentrepriser</t>
  </si>
  <si>
    <t>Entreprenørfirma med jord- og kloakarbejde</t>
  </si>
  <si>
    <t>Entreprenørfirma med anlægs- og gravearbejde</t>
  </si>
  <si>
    <t>Entreprenør med jord- og belægningsopgaver</t>
  </si>
  <si>
    <t>Teknisk entreprenør inden installation og forsyning</t>
  </si>
  <si>
    <t>Entreprenørvirksomhed med jord- og kloakarbejde</t>
  </si>
  <si>
    <t>Specialist i relining og kloakrenovering</t>
  </si>
  <si>
    <t>Entreprenørfirma med grave-, belægnings- og kloakarbejde</t>
  </si>
  <si>
    <t>Entreprenørvirksomhed med jord- og vejbygning</t>
  </si>
  <si>
    <t>Industriel service og teknisk vedligehold</t>
  </si>
  <si>
    <t>Entreprenørfirma med jord- og kloakopgaver</t>
  </si>
  <si>
    <t>Entreprenørfirma med infrastruktur- og anlægsprojekter</t>
  </si>
  <si>
    <t>Anlægsentreprenør med jord-, beton- og kloakarbejde</t>
  </si>
  <si>
    <t>Service- og entrepriseydelser til byggebranchen</t>
  </si>
  <si>
    <t>Infrastrukturleverandør med drift og vedligehold af forsyningsnet</t>
  </si>
  <si>
    <t>Entreprenørvirksomhed med materiel, anlæg og drift</t>
  </si>
  <si>
    <t>Entreprenørfirma med jord-, belægnings- og kloakarbejde</t>
  </si>
  <si>
    <t>Specialist i grundvandssænkning, boring og brøndarbejde</t>
  </si>
  <si>
    <t>Entreprenør inden kabel-, fiber- og forsyningsinstallation</t>
  </si>
  <si>
    <t>Anlægsgartner med jord-, belægning- og entreprenøropgaver</t>
  </si>
  <si>
    <t>Entreprenørfirma med kloakservice, slamsugning og jordarbejde</t>
  </si>
  <si>
    <t>Noter:</t>
  </si>
  <si>
    <t>77252614</t>
  </si>
  <si>
    <t>1984-11-29</t>
  </si>
  <si>
    <t>DANJORD A/S</t>
  </si>
  <si>
    <t>Viengevej 8 - 8240 Risskov</t>
  </si>
  <si>
    <t>8240</t>
  </si>
  <si>
    <t>Risskov</t>
  </si>
  <si>
    <t>429900 Andre anlægsaktiviteter i.a.n.</t>
  </si>
  <si>
    <t>86212894</t>
  </si>
  <si>
    <t>35635114</t>
  </si>
  <si>
    <t>2014-01-01</t>
  </si>
  <si>
    <t>FL Entreprise ApS</t>
  </si>
  <si>
    <t>Havestien 2 - 7500 Holstebro</t>
  </si>
  <si>
    <t>33578628</t>
  </si>
  <si>
    <t>2011-03-21</t>
  </si>
  <si>
    <t>MB FUNDAMENT ApS</t>
  </si>
  <si>
    <t>Rugvej 27A - 2765 Smørum</t>
  </si>
  <si>
    <t>2765</t>
  </si>
  <si>
    <t>Smørum</t>
  </si>
  <si>
    <t>21170887</t>
  </si>
  <si>
    <t>1998-06-26</t>
  </si>
  <si>
    <t>Sukup Europe A/S</t>
  </si>
  <si>
    <t>Mimersvej 5 - 8722 Hedensted</t>
  </si>
  <si>
    <t>8722</t>
  </si>
  <si>
    <t>Hedensted</t>
  </si>
  <si>
    <t>75685311</t>
  </si>
  <si>
    <t>20438576</t>
  </si>
  <si>
    <t>1997-10-01</t>
  </si>
  <si>
    <t>VILS ENTREPRENØRFORRETNING A/S</t>
  </si>
  <si>
    <t>Nørrealle 21 - 7980 Vils</t>
  </si>
  <si>
    <t>7980</t>
  </si>
  <si>
    <t>Vils</t>
  </si>
  <si>
    <t>97767766</t>
  </si>
  <si>
    <t>Entreprenørvirksomhed med jord-, fundaments- og større anlægsprojekter</t>
  </si>
  <si>
    <t>Entreprenørfirma med mindre bygge-, jord- og anlægsopgaver</t>
  </si>
  <si>
    <t>Specialist i fundamentsarbejde og betonløsninger</t>
  </si>
  <si>
    <t>Producent og leverandør af industrielle stålsiloer og kornhåndteringssystemer</t>
  </si>
  <si>
    <t>27200265</t>
  </si>
  <si>
    <t>2002-10-01</t>
  </si>
  <si>
    <t>HVIDBERG A/S</t>
  </si>
  <si>
    <t>Industrivej 18 - 7600 Struer</t>
  </si>
  <si>
    <t>7600</t>
  </si>
  <si>
    <t>Struer</t>
  </si>
  <si>
    <t>431100 Nedrivning</t>
  </si>
  <si>
    <t>96840084</t>
  </si>
  <si>
    <t>26818583</t>
  </si>
  <si>
    <t>2002-08-20</t>
  </si>
  <si>
    <t>J. Jensen Nedrivning A/S</t>
  </si>
  <si>
    <t>Højlundevej 8D - Uvelse - 3540 Lynge</t>
  </si>
  <si>
    <t>48253535</t>
  </si>
  <si>
    <t>37803790</t>
  </si>
  <si>
    <t>2016-06-16</t>
  </si>
  <si>
    <t>Kieler Entreprenør ApS</t>
  </si>
  <si>
    <t>Lucernetoften 2 - 5550 Langeskov</t>
  </si>
  <si>
    <t>5550</t>
  </si>
  <si>
    <t>Langeskov</t>
  </si>
  <si>
    <t>21791733</t>
  </si>
  <si>
    <t>1999-07-01</t>
  </si>
  <si>
    <t>KINGO KARLSEN A/S</t>
  </si>
  <si>
    <t>F.L.Smidths Vej 17 - 8600 Silkeborg</t>
  </si>
  <si>
    <t>87229000</t>
  </si>
  <si>
    <t>14345140</t>
  </si>
  <si>
    <t>1990-06-28</t>
  </si>
  <si>
    <t>P. OLESEN OG SØNNER A/S</t>
  </si>
  <si>
    <t>Industriområdet 25 - 8732 Hovedgård</t>
  </si>
  <si>
    <t>8732</t>
  </si>
  <si>
    <t>Hovedgård</t>
  </si>
  <si>
    <t>75662500</t>
  </si>
  <si>
    <t>mail@p-olesen.dk</t>
  </si>
  <si>
    <t>33036167</t>
  </si>
  <si>
    <t>2010-06-01</t>
  </si>
  <si>
    <t>R.S. GRUPPEN ApS</t>
  </si>
  <si>
    <t>Kråsigvej 9 - Åes - 8700 Horsens</t>
  </si>
  <si>
    <t>27724094</t>
  </si>
  <si>
    <t>rsgruppen@rsgruppen.biz</t>
  </si>
  <si>
    <t>26378443</t>
  </si>
  <si>
    <t>2001-12-27</t>
  </si>
  <si>
    <t>TSCHERNING A/S</t>
  </si>
  <si>
    <t>Guldalderen 32 - Fløng - 2640 Hedehusene</t>
  </si>
  <si>
    <t>2640</t>
  </si>
  <si>
    <t>Hedehusene</t>
  </si>
  <si>
    <t>70207050</t>
  </si>
  <si>
    <t>Entreprenørvirksomhed med jord-, beton- og anlægsopgaver</t>
  </si>
  <si>
    <t>Specialist i nedrivning, sanering og miljøhåndtering</t>
  </si>
  <si>
    <t>Entreprenørfirma med mindre jord- og kloakopgaver</t>
  </si>
  <si>
    <t>Nedrivnings- og miljøsaneringsvirksomhed</t>
  </si>
  <si>
    <t>Entreprenørfirma med jord-, vej- og anlægsarbejde</t>
  </si>
  <si>
    <t>Bygge-, anlægs- og serviceløsninger til industri og erhverv</t>
  </si>
  <si>
    <t>Entreprenørvirksomhed med nedrivning, miljøsanering og anlægsarbejde</t>
  </si>
  <si>
    <t>27142966</t>
  </si>
  <si>
    <t>2003-04-30</t>
  </si>
  <si>
    <t>BRDR. HANSEN ENTREPRISE ApS</t>
  </si>
  <si>
    <t>Øverupvej 21 - 4700 Næstved</t>
  </si>
  <si>
    <t>431200 Forberedende byggepladsarbejder</t>
  </si>
  <si>
    <t>26390400</t>
  </si>
  <si>
    <t>2002-01-07</t>
  </si>
  <si>
    <t>ENKON A/S</t>
  </si>
  <si>
    <t>Mågevej 14 - 8370 Hadsten</t>
  </si>
  <si>
    <t>8370</t>
  </si>
  <si>
    <t>Hadsten</t>
  </si>
  <si>
    <t>87623060</t>
  </si>
  <si>
    <t>info@enkon.dk</t>
  </si>
  <si>
    <t>31514932</t>
  </si>
  <si>
    <t>2008-06-26</t>
  </si>
  <si>
    <t>GERSTRØM ENTREPRENØR ApS</t>
  </si>
  <si>
    <t>Vestergade 77 - 8550 Ryomgård</t>
  </si>
  <si>
    <t>8550</t>
  </si>
  <si>
    <t>Ryomgård</t>
  </si>
  <si>
    <t>86394668</t>
  </si>
  <si>
    <t>sg@gerstrom.eu</t>
  </si>
  <si>
    <t>17827987</t>
  </si>
  <si>
    <t>1994-05-30</t>
  </si>
  <si>
    <t>GORM HANSEN A/S</t>
  </si>
  <si>
    <t>Lykkegårdsvej 11 - 4000 Roskilde</t>
  </si>
  <si>
    <t>46364167</t>
  </si>
  <si>
    <t>ghs@gorm-hansen.dk</t>
  </si>
  <si>
    <t>51603710</t>
  </si>
  <si>
    <t>1975-01-02</t>
  </si>
  <si>
    <t>GRAVMAND A/S</t>
  </si>
  <si>
    <t>Birkerød Kongevej 137B - 1. - 3460 Birkerød</t>
  </si>
  <si>
    <t>45948020</t>
  </si>
  <si>
    <t>info@gravmand.dk</t>
  </si>
  <si>
    <t>12598734</t>
  </si>
  <si>
    <t>1989-01-02</t>
  </si>
  <si>
    <t>HANS FRISESDAHL A/S</t>
  </si>
  <si>
    <t>Estrupvej 17 - Malt - 6600 Vejen</t>
  </si>
  <si>
    <t>6600</t>
  </si>
  <si>
    <t>Vejen</t>
  </si>
  <si>
    <t>75360743</t>
  </si>
  <si>
    <t>25267699</t>
  </si>
  <si>
    <t>2000-01-01</t>
  </si>
  <si>
    <t>HANS IKJÆR ENTREPRENØRFORRETNING ApS</t>
  </si>
  <si>
    <t>Industrivænget 7 - 8783 Hornsyld</t>
  </si>
  <si>
    <t>8783</t>
  </si>
  <si>
    <t>Hornsyld</t>
  </si>
  <si>
    <t>75685078</t>
  </si>
  <si>
    <t>info@hient.dk</t>
  </si>
  <si>
    <t>10135567</t>
  </si>
  <si>
    <t>2003-03-31</t>
  </si>
  <si>
    <t>HM ENTREPRENØR A/S</t>
  </si>
  <si>
    <t>Orionvej 10 - 8700 Horsens</t>
  </si>
  <si>
    <t>75661822</t>
  </si>
  <si>
    <t>info@hm-as.dk</t>
  </si>
  <si>
    <t>28869142</t>
  </si>
  <si>
    <t>2005-07-01</t>
  </si>
  <si>
    <t>HMU A/S ENTREPRENØRFORRETNING</t>
  </si>
  <si>
    <t>Dalsagervej 21 - 9850 Hirtshals</t>
  </si>
  <si>
    <t>9850</t>
  </si>
  <si>
    <t>Hirtshals</t>
  </si>
  <si>
    <t>98944544</t>
  </si>
  <si>
    <t>18408732</t>
  </si>
  <si>
    <t>Hovedgårdsvejen ApS</t>
  </si>
  <si>
    <t>Hovedgårdsvejen 3 - Nylars - 3720 Aakirkeby</t>
  </si>
  <si>
    <t>3720</t>
  </si>
  <si>
    <t>Aakirkeby</t>
  </si>
  <si>
    <t>56972544</t>
  </si>
  <si>
    <t>25117255</t>
  </si>
  <si>
    <t>ILLER KLOAK OG ANLÆG ApS</t>
  </si>
  <si>
    <t>Håndværkervej 9 - 8643 Ans By</t>
  </si>
  <si>
    <t>8643</t>
  </si>
  <si>
    <t>Ans By</t>
  </si>
  <si>
    <t>15033975</t>
  </si>
  <si>
    <t>1991-05-02</t>
  </si>
  <si>
    <t>IVAN JAKOBSEN ENTREPRENØRFIRMA A/S</t>
  </si>
  <si>
    <t>Farvervej 13 - 7600 Struer</t>
  </si>
  <si>
    <t>97852302</t>
  </si>
  <si>
    <t>31778743</t>
  </si>
  <si>
    <t>2008-10-22</t>
  </si>
  <si>
    <t>KB ENTREPRISE A/S</t>
  </si>
  <si>
    <t>Rådbjergvej 4C - Rådbjerg - 4450 Jyderup</t>
  </si>
  <si>
    <t>4450</t>
  </si>
  <si>
    <t>Jyderup</t>
  </si>
  <si>
    <t>20612630</t>
  </si>
  <si>
    <t>1998-01-01</t>
  </si>
  <si>
    <t>MIS RECYCLING A/S</t>
  </si>
  <si>
    <t>Løngvej 14 - 4180 Sorø</t>
  </si>
  <si>
    <t>12664478</t>
  </si>
  <si>
    <t>1988-12-01</t>
  </si>
  <si>
    <t>RICHARDT HANSEN A/S</t>
  </si>
  <si>
    <t>Strandagervej 3 - Yderby Lyng - 4583 Sjællands Odde</t>
  </si>
  <si>
    <t>4583</t>
  </si>
  <si>
    <t>Sjællands Odde</t>
  </si>
  <si>
    <t>59326241</t>
  </si>
  <si>
    <t>rh@richardthansen.dk</t>
  </si>
  <si>
    <t>27361072</t>
  </si>
  <si>
    <t>2003-06-30</t>
  </si>
  <si>
    <t>SKJ MASKINUDLEJNING ApS</t>
  </si>
  <si>
    <t>Jættevej 46 - 4100 Ringsted</t>
  </si>
  <si>
    <t>27923453</t>
  </si>
  <si>
    <t>SVEBØLLE ENTREPRENØR OG MASKINUDLEJNING ApS</t>
  </si>
  <si>
    <t>Frederiksberg 23B - 4470 Svebølle</t>
  </si>
  <si>
    <t>4470</t>
  </si>
  <si>
    <t>Svebølle</t>
  </si>
  <si>
    <t>59294416</t>
  </si>
  <si>
    <t>allan@semaskiner.dk</t>
  </si>
  <si>
    <t>27965261</t>
  </si>
  <si>
    <t>2006-06-23</t>
  </si>
  <si>
    <t>THOMAS NØRGÅRD ApS</t>
  </si>
  <si>
    <t>Morsøvej 7 - 8800 Viborg</t>
  </si>
  <si>
    <t>27539730</t>
  </si>
  <si>
    <t>tn@tn-viborg.dk</t>
  </si>
  <si>
    <t>32271138</t>
  </si>
  <si>
    <t>2009-06-23</t>
  </si>
  <si>
    <t>VOGNMAND OG ENTREPRENØR MADS VEJRUP A/S</t>
  </si>
  <si>
    <t>Algade 70 - Frifelt - 6780 Skærbæk</t>
  </si>
  <si>
    <t>27230385</t>
  </si>
  <si>
    <t>2003-01-01</t>
  </si>
  <si>
    <t>AAGAARD JENSEN A/S</t>
  </si>
  <si>
    <t>Ibæk Strandvej 3A - 7100 Vejle</t>
  </si>
  <si>
    <t>75720311</t>
  </si>
  <si>
    <t>faktura@aagaardjensenas.dk</t>
  </si>
  <si>
    <t>Rådgiver og entreprenør inden energi- og miljøprojekter</t>
  </si>
  <si>
    <t>Bygge- og anlægsentreprenør med større projekter</t>
  </si>
  <si>
    <t>Grave- og entreprenørfirma til jord- og belægningsarbejde</t>
  </si>
  <si>
    <t>Entreprenørvirksomhed med jord-, beton- og anlægsprojekter</t>
  </si>
  <si>
    <t>Lokalt entreprenørfirma med jord- og kloakopgaver</t>
  </si>
  <si>
    <t>Entreprenørvirksomhed med anlæg, jord og beton</t>
  </si>
  <si>
    <t>Entreprenørfirma med jord-, kloak- og gravearbejde</t>
  </si>
  <si>
    <t>Anlægs- og entreprenørfirma med mindre projekter</t>
  </si>
  <si>
    <t>Kloakmester med kloakservice og anlægsopgaver</t>
  </si>
  <si>
    <t>Entreprenørfirma med jord-, beton- og belægningsarbejde</t>
  </si>
  <si>
    <t>Entreprisevirksomhed inden bygge- og anlægsprojekter</t>
  </si>
  <si>
    <t>Genanvendelse, sortering og affaldshåndtering</t>
  </si>
  <si>
    <t>Entreprenørvirksomhed med jord-, vej- og anlægsarbejde</t>
  </si>
  <si>
    <t>Maskin- og materieludlejning til bygge- og anlægsbranchen</t>
  </si>
  <si>
    <t>Entreprenørfirma med jord-, kloak- og maskinydelser</t>
  </si>
  <si>
    <t>Entreprenørvirksomhed med jord- og anlægsopgaver</t>
  </si>
  <si>
    <t>Vognmands- og entreprenørfirma med jord- og gravearbejde</t>
  </si>
  <si>
    <t>Entreprenørfirma med jord-, beton- og anlægsarbejde</t>
  </si>
  <si>
    <t>26512891</t>
  </si>
  <si>
    <t>2002-03-15</t>
  </si>
  <si>
    <t>A/S BRDR. JENSEN VVS</t>
  </si>
  <si>
    <t>Hjortekærsvej 180 - 2800 Kgs. Lyngby</t>
  </si>
  <si>
    <t>Kgs. Lyngby</t>
  </si>
  <si>
    <t>432200 Installation af vvs-, varme- og klimaanlæg</t>
  </si>
  <si>
    <t>45878088</t>
  </si>
  <si>
    <t>26412714</t>
  </si>
  <si>
    <t>2001-12-20</t>
  </si>
  <si>
    <t>Agesen &amp; Koldsgaard VVS Teknik ApS</t>
  </si>
  <si>
    <t>Industrivej 39 - 9690 Fjerritslev</t>
  </si>
  <si>
    <t>9690</t>
  </si>
  <si>
    <t>Fjerritslev</t>
  </si>
  <si>
    <t>mail@agesenvvs.dk</t>
  </si>
  <si>
    <t>25440021</t>
  </si>
  <si>
    <t>2000-06-08</t>
  </si>
  <si>
    <t>ALKE KJØNGERSKOV VVS ApS</t>
  </si>
  <si>
    <t>Torvegade 69 - 7160 Tørring</t>
  </si>
  <si>
    <t>7160</t>
  </si>
  <si>
    <t>Tørring</t>
  </si>
  <si>
    <t>76905090</t>
  </si>
  <si>
    <t>alke@alkevvs.dk</t>
  </si>
  <si>
    <t>26019052</t>
  </si>
  <si>
    <t>2001-04-30</t>
  </si>
  <si>
    <t>ANDERS DAHLGAARD ApS</t>
  </si>
  <si>
    <t>C/O Anders Dahlgaard, C/O Anders Dahlgaard - Langtoften 1 - Sundby - 7950 Erslev</t>
  </si>
  <si>
    <t>7950</t>
  </si>
  <si>
    <t>Erslev</t>
  </si>
  <si>
    <t>97921000</t>
  </si>
  <si>
    <t>18530902</t>
  </si>
  <si>
    <t>1995-05-01</t>
  </si>
  <si>
    <t>ANDERSEN &amp; HEEGAARD A/S</t>
  </si>
  <si>
    <t>Knudslundvej 33 - 2605 Brøndby</t>
  </si>
  <si>
    <t>2605</t>
  </si>
  <si>
    <t>Brøndby</t>
  </si>
  <si>
    <t>33047509</t>
  </si>
  <si>
    <t>2010-06-28</t>
  </si>
  <si>
    <t>ANDERSEN VVS A/S</t>
  </si>
  <si>
    <t>Amager Strandvej 418 - 2770 Kastrup</t>
  </si>
  <si>
    <t>2770</t>
  </si>
  <si>
    <t>Kastrup</t>
  </si>
  <si>
    <t>32523037</t>
  </si>
  <si>
    <t>info@andersenvvs.dk</t>
  </si>
  <si>
    <t>25857380</t>
  </si>
  <si>
    <t>2001-01-23</t>
  </si>
  <si>
    <t>ANDRESEN'S VVS A/S</t>
  </si>
  <si>
    <t>Gl. Landevej 82 - Erritsø - 7000 Fredericia</t>
  </si>
  <si>
    <t>75933562</t>
  </si>
  <si>
    <t>30662628</t>
  </si>
  <si>
    <t>1967-05-23</t>
  </si>
  <si>
    <t>BENNY JOHANSEN &amp; SØNNER A/S</t>
  </si>
  <si>
    <t>Energivej 35 - 2750 Ballerup</t>
  </si>
  <si>
    <t>2750</t>
  </si>
  <si>
    <t>Ballerup</t>
  </si>
  <si>
    <t>44970071</t>
  </si>
  <si>
    <t>info@bjogs.dk</t>
  </si>
  <si>
    <t>14235094</t>
  </si>
  <si>
    <t>1990-06-26</t>
  </si>
  <si>
    <t>Blik og VVS Kaj Dahl Andersen A/S</t>
  </si>
  <si>
    <t>Vestergade 46E - 8963 Auning</t>
  </si>
  <si>
    <t>86484172</t>
  </si>
  <si>
    <t>20853891</t>
  </si>
  <si>
    <t>1998-04-22</t>
  </si>
  <si>
    <t>BLIKKENSLAGERFIRMAET JESPER HANSEN ApS</t>
  </si>
  <si>
    <t>Hesselager 23 - 2605 Brøndby</t>
  </si>
  <si>
    <t>56828002</t>
  </si>
  <si>
    <t>44780615</t>
  </si>
  <si>
    <t>1976-10-28</t>
  </si>
  <si>
    <t>BLIKKENSLAGERSELSKABET TH. HANSENS EFTF. ApS</t>
  </si>
  <si>
    <t>Slagelsegade 11 - 2100 København Ø</t>
  </si>
  <si>
    <t>35420411</t>
  </si>
  <si>
    <t>34223572</t>
  </si>
  <si>
    <t>2012-02-06</t>
  </si>
  <si>
    <t>Bred VVS ApS</t>
  </si>
  <si>
    <t>C/O Martin Bred, C/O Martin Bred - Nørrevej 45C - Kollund - 6340 Kruså</t>
  </si>
  <si>
    <t>6340</t>
  </si>
  <si>
    <t>Kruså</t>
  </si>
  <si>
    <t>74671512</t>
  </si>
  <si>
    <t>vvs@bred.dk</t>
  </si>
  <si>
    <t>25448545</t>
  </si>
  <si>
    <t>2000-05-29</t>
  </si>
  <si>
    <t>BRÆDSTRUP VVS TEKNIK ApS</t>
  </si>
  <si>
    <t>Indre Ringvej 5 - 8740 Brædstrup</t>
  </si>
  <si>
    <t>8740</t>
  </si>
  <si>
    <t>Brædstrup</t>
  </si>
  <si>
    <t>75752200</t>
  </si>
  <si>
    <t>mail@vvsteknik.dk</t>
  </si>
  <si>
    <t>24228533</t>
  </si>
  <si>
    <t>1999-06-26</t>
  </si>
  <si>
    <t>BYENS VVS OG BLIK ODENSE ApS</t>
  </si>
  <si>
    <t>Klokkestøbervej 15 - 5230 Odense M</t>
  </si>
  <si>
    <t>66189968</t>
  </si>
  <si>
    <t>kontor@byensvvsogblik.dk</t>
  </si>
  <si>
    <t>11757588</t>
  </si>
  <si>
    <t>1987-10-28</t>
  </si>
  <si>
    <t>BØRGE HANSEN A/S</t>
  </si>
  <si>
    <t>Jens Hansens Vej 4 - Nr. Søby - 7840 Højslev</t>
  </si>
  <si>
    <t>97535600</t>
  </si>
  <si>
    <t>33879156</t>
  </si>
  <si>
    <t>2011-08-30</t>
  </si>
  <si>
    <t>DAM &amp; HOVGAARD A/S</t>
  </si>
  <si>
    <t>Skyttevej 11B - 7800 Skive</t>
  </si>
  <si>
    <t>15553871</t>
  </si>
  <si>
    <t>1991-11-01</t>
  </si>
  <si>
    <t>DEHLSEN &amp; SØNNER A/S</t>
  </si>
  <si>
    <t>Valhøjs Alle 187 - 2610 Rødovre</t>
  </si>
  <si>
    <t>2610</t>
  </si>
  <si>
    <t>Rødovre</t>
  </si>
  <si>
    <t>38100500</t>
  </si>
  <si>
    <t>bogholderi@dehlsen.dk</t>
  </si>
  <si>
    <t>43291319</t>
  </si>
  <si>
    <t>1975-12-23</t>
  </si>
  <si>
    <t>DIGMANN A/S BYGNINGSSERVICE EL - VVS - MURER</t>
  </si>
  <si>
    <t>C/O Klaus Digmann, C/O Klaus Digmann - Rødager Alle 133 - 2610 Rødovre</t>
  </si>
  <si>
    <t>38199980</t>
  </si>
  <si>
    <t>bygningsservice@digmann.dk</t>
  </si>
  <si>
    <t>19483770</t>
  </si>
  <si>
    <t>1996-08-30</t>
  </si>
  <si>
    <t>DP-VENTILATION A/S</t>
  </si>
  <si>
    <t>Brunbjergvej 12 - 8240 Risskov</t>
  </si>
  <si>
    <t>87425542</t>
  </si>
  <si>
    <t>15405694</t>
  </si>
  <si>
    <t>1991-09-11</t>
  </si>
  <si>
    <t>FH VVS-INSTALLATØRFORRETNING A/S</t>
  </si>
  <si>
    <t>Mukkerten 4 - Tarp - 6715 Esbjerg N</t>
  </si>
  <si>
    <t>6715</t>
  </si>
  <si>
    <t>Esbjerg N</t>
  </si>
  <si>
    <t>12147376</t>
  </si>
  <si>
    <t>1988-04-30</t>
  </si>
  <si>
    <t>FINN L. &amp; DAVIDSEN A/S</t>
  </si>
  <si>
    <t>Finlandsgade 13 - 4690 Haslev</t>
  </si>
  <si>
    <t>4690</t>
  </si>
  <si>
    <t>Haslev</t>
  </si>
  <si>
    <t>70122020</t>
  </si>
  <si>
    <t>20638087</t>
  </si>
  <si>
    <t>1997-11-17</t>
  </si>
  <si>
    <t>FINN OLSEN A/S VVS</t>
  </si>
  <si>
    <t>Salbjergvej 35 - 4622 Havdrup</t>
  </si>
  <si>
    <t>4622</t>
  </si>
  <si>
    <t>Havdrup</t>
  </si>
  <si>
    <t>46185790</t>
  </si>
  <si>
    <t>26656117</t>
  </si>
  <si>
    <t>2002-06-12</t>
  </si>
  <si>
    <t>FLEMMING SVENDSEN VVS ApS</t>
  </si>
  <si>
    <t>Almindingsvej 10 - 3700 Rønne</t>
  </si>
  <si>
    <t>28966377</t>
  </si>
  <si>
    <t>2005-08-04</t>
  </si>
  <si>
    <t>FYRODAN VVS A/S</t>
  </si>
  <si>
    <t>Havnegade 2 - 4800 Nykøbing F</t>
  </si>
  <si>
    <t>54853189</t>
  </si>
  <si>
    <t>14306048</t>
  </si>
  <si>
    <t>1990-06-22</t>
  </si>
  <si>
    <t>GK DANMARK A/S</t>
  </si>
  <si>
    <t>Ørbækvej 268C - 5220 Odense SØ</t>
  </si>
  <si>
    <t>66142412</t>
  </si>
  <si>
    <t>12476531</t>
  </si>
  <si>
    <t>1988-07-01</t>
  </si>
  <si>
    <t>GL VVS A/S</t>
  </si>
  <si>
    <t>Symfonivej 29 - 2730 Herlev</t>
  </si>
  <si>
    <t>44842288</t>
  </si>
  <si>
    <t>sa@gl-vvs.dk</t>
  </si>
  <si>
    <t>77127119</t>
  </si>
  <si>
    <t>1984-12-30</t>
  </si>
  <si>
    <t>GULDHAMMER A/S</t>
  </si>
  <si>
    <t>Lyngtoften 4 - Hodsager - 7490 Aulum</t>
  </si>
  <si>
    <t>7490</t>
  </si>
  <si>
    <t>Aulum</t>
  </si>
  <si>
    <t>97456133</t>
  </si>
  <si>
    <t>10270278</t>
  </si>
  <si>
    <t>1986-07-02</t>
  </si>
  <si>
    <t>GUNNAR KRISTENSEN VVS A/S</t>
  </si>
  <si>
    <t>Orebygårdvej 13 - Tjørring - 7400 Herning</t>
  </si>
  <si>
    <t>97125700</t>
  </si>
  <si>
    <t>25469984</t>
  </si>
  <si>
    <t>2000-06-23</t>
  </si>
  <si>
    <t>H.P. CHRISTENSEN &amp; SØNNER A/S</t>
  </si>
  <si>
    <t>Løvegade 30 - 4200 Slagelse</t>
  </si>
  <si>
    <t>58521341</t>
  </si>
  <si>
    <t>30696646</t>
  </si>
  <si>
    <t>HEDENSTED VVS SERVICE A/S</t>
  </si>
  <si>
    <t>Årupvej 29 - 8722 Hedensted</t>
  </si>
  <si>
    <t>75890730</t>
  </si>
  <si>
    <t>mail@hedensted-vvs.dk</t>
  </si>
  <si>
    <t>29189285</t>
  </si>
  <si>
    <t>2005-11-21</t>
  </si>
  <si>
    <t>IB ANDERSEN VVS A/S</t>
  </si>
  <si>
    <t>Karlskogavej 14 - 9200 Aalborg SV</t>
  </si>
  <si>
    <t>70201733</t>
  </si>
  <si>
    <t>adm@ia-vvs.dk</t>
  </si>
  <si>
    <t>11825699</t>
  </si>
  <si>
    <t>1987-12-21</t>
  </si>
  <si>
    <t>IMS/VVS A/S</t>
  </si>
  <si>
    <t>Græsmarkvej 23 - 4632 Bjæverskov</t>
  </si>
  <si>
    <t>4632</t>
  </si>
  <si>
    <t>Bjæverskov</t>
  </si>
  <si>
    <t>12203195</t>
  </si>
  <si>
    <t>1988-06-09</t>
  </si>
  <si>
    <t>JACK FOGED A/S</t>
  </si>
  <si>
    <t>Fangelvej 98 - Radby - 5672 Broby</t>
  </si>
  <si>
    <t>62691060</t>
  </si>
  <si>
    <t>post@jack-foged.dk</t>
  </si>
  <si>
    <t>34714061</t>
  </si>
  <si>
    <t>2012-10-02</t>
  </si>
  <si>
    <t>JK VENTILATION ApS</t>
  </si>
  <si>
    <t>Markedspladsen 13 - 5600 Faaborg</t>
  </si>
  <si>
    <t>63617781</t>
  </si>
  <si>
    <t>mail@jkvent.dk</t>
  </si>
  <si>
    <t>10285399</t>
  </si>
  <si>
    <t>1986-05-10</t>
  </si>
  <si>
    <t>JOHN A. HANSEN AF 1986 A/S</t>
  </si>
  <si>
    <t>Sølvgade 100 - 1307 København K</t>
  </si>
  <si>
    <t>1307</t>
  </si>
  <si>
    <t>København K</t>
  </si>
  <si>
    <t>33133978</t>
  </si>
  <si>
    <t>vvsjah@post10.tele.dk</t>
  </si>
  <si>
    <t>82058214</t>
  </si>
  <si>
    <t>1977-08-04</t>
  </si>
  <si>
    <t>JONASSEN VENTILATION A/S</t>
  </si>
  <si>
    <t>Vandmanden 40 - 9200 Aalborg SV</t>
  </si>
  <si>
    <t>96399911</t>
  </si>
  <si>
    <t>bogholderi@jonassen.dk</t>
  </si>
  <si>
    <t>10129095</t>
  </si>
  <si>
    <t>1985-12-27</t>
  </si>
  <si>
    <t>JS VENTILATION A/S</t>
  </si>
  <si>
    <t>Malervangen 9 - 2600 Glostrup</t>
  </si>
  <si>
    <t>43422010</t>
  </si>
  <si>
    <t>js@js-ventilation.dk</t>
  </si>
  <si>
    <t>27057489</t>
  </si>
  <si>
    <t>JT3 KLIMA A/S</t>
  </si>
  <si>
    <t>Hirsemarken 2 - 3520 Farum</t>
  </si>
  <si>
    <t>79472816</t>
  </si>
  <si>
    <t>1985-11-26</t>
  </si>
  <si>
    <t>JÜRGENSEN VVS ApS</t>
  </si>
  <si>
    <t>Håndværkervej 9 - 6270 Tønder</t>
  </si>
  <si>
    <t>6270</t>
  </si>
  <si>
    <t>Tønder</t>
  </si>
  <si>
    <t>74722212</t>
  </si>
  <si>
    <t>26159083</t>
  </si>
  <si>
    <t>2001-07-02</t>
  </si>
  <si>
    <t>KG Montage ApS</t>
  </si>
  <si>
    <t>Kildebrogårdsvej 11A - 4622 Havdrup</t>
  </si>
  <si>
    <t>21426883</t>
  </si>
  <si>
    <t>20776498</t>
  </si>
  <si>
    <t>1998-04-03</t>
  </si>
  <si>
    <t>KJELLERUP VVS A/S</t>
  </si>
  <si>
    <t>F.L.Smidths Vej 9 - 8600 Silkeborg</t>
  </si>
  <si>
    <t>86881370</t>
  </si>
  <si>
    <t>73251419</t>
  </si>
  <si>
    <t>1983-03-25</t>
  </si>
  <si>
    <t>Lauritz Hannibal VVS &amp; Teknik A/S</t>
  </si>
  <si>
    <t>Transformervej 17 - 2860 Søborg</t>
  </si>
  <si>
    <t>2860</t>
  </si>
  <si>
    <t>Søborg</t>
  </si>
  <si>
    <t>38104266</t>
  </si>
  <si>
    <t>30695305</t>
  </si>
  <si>
    <t>MOGENSEN VVS COMFORT A/S</t>
  </si>
  <si>
    <t>Sletten 47A - Mejrup - 7500 Holstebro</t>
  </si>
  <si>
    <t>97420015</t>
  </si>
  <si>
    <t>10217970</t>
  </si>
  <si>
    <t>1986-04-15</t>
  </si>
  <si>
    <t>Multi Køl &amp; Energi A/S</t>
  </si>
  <si>
    <t>Holmstrupgårdvej 2 - 8220 Brabrand</t>
  </si>
  <si>
    <t>86265400</t>
  </si>
  <si>
    <t>86780410</t>
  </si>
  <si>
    <t>Mølbak VVS &amp; Energiteknik A/S</t>
  </si>
  <si>
    <t>Hjørnegårdsvej 3 - 4623 Lille Skensved</t>
  </si>
  <si>
    <t>20966998</t>
  </si>
  <si>
    <t>1998-06-16</t>
  </si>
  <si>
    <t>MØLDRUP VVS A/S</t>
  </si>
  <si>
    <t>Møllegade 4 - 9632 Møldrup</t>
  </si>
  <si>
    <t>9632</t>
  </si>
  <si>
    <t>Møldrup</t>
  </si>
  <si>
    <t>14800174</t>
  </si>
  <si>
    <t>NÆSTVED VVS ENTREPRISE ApS</t>
  </si>
  <si>
    <t>Ærøvej 3 - 4700 Næstved</t>
  </si>
  <si>
    <t>12935986</t>
  </si>
  <si>
    <t>1989-04-01</t>
  </si>
  <si>
    <t>OK Energiteknik A/S</t>
  </si>
  <si>
    <t>Dybendalsvænget 3 - Klovtofte - 2630 Taastrup</t>
  </si>
  <si>
    <t>50131415</t>
  </si>
  <si>
    <t>ok-energiteknik@ok.dk</t>
  </si>
  <si>
    <t>17485393</t>
  </si>
  <si>
    <t>1993-12-08</t>
  </si>
  <si>
    <t>PANDRUP-KAAS SMEDE &amp; VVS A/S</t>
  </si>
  <si>
    <t>Bransagervej 1 - 9490 Pandrup</t>
  </si>
  <si>
    <t>9490</t>
  </si>
  <si>
    <t>Pandrup</t>
  </si>
  <si>
    <t>20758082</t>
  </si>
  <si>
    <t>1998-03-01</t>
  </si>
  <si>
    <t>PER'S VVS ApS</t>
  </si>
  <si>
    <t>Virkelyst 2 - Nørre Jernløse - 4420 Regstrup</t>
  </si>
  <si>
    <t>4420</t>
  </si>
  <si>
    <t>Regstrup</t>
  </si>
  <si>
    <t>59183330</t>
  </si>
  <si>
    <t>13921997</t>
  </si>
  <si>
    <t>1990-02-01</t>
  </si>
  <si>
    <t>Petrowsky Vejle A/S</t>
  </si>
  <si>
    <t>Sadelmagervej 24 - 7100 Vejle</t>
  </si>
  <si>
    <t>75720444</t>
  </si>
  <si>
    <t>28518803</t>
  </si>
  <si>
    <t>2005-04-01</t>
  </si>
  <si>
    <t>POUL SEJR NIELSEN ENTREPRISE A/S</t>
  </si>
  <si>
    <t>Klintehøj Vænge 7 - 3460 Birkerød</t>
  </si>
  <si>
    <t>45815577</t>
  </si>
  <si>
    <t>29690073</t>
  </si>
  <si>
    <t>2006-07-01</t>
  </si>
  <si>
    <t>POUL SEJR NIELSEN SERVICE A/S</t>
  </si>
  <si>
    <t>32259987</t>
  </si>
  <si>
    <t>2009-05-25</t>
  </si>
  <si>
    <t>PROLINE DANMARK ApS</t>
  </si>
  <si>
    <t>Lunikvej 24D - 2670 Greve</t>
  </si>
  <si>
    <t>11907881</t>
  </si>
  <si>
    <t>1988-08-17</t>
  </si>
  <si>
    <t>RAKLEV SMEDEVIRKSOMHED A/S</t>
  </si>
  <si>
    <t>Sydhavnsvej 5 - 4400 Kalundborg</t>
  </si>
  <si>
    <t>4400</t>
  </si>
  <si>
    <t>Kalundborg</t>
  </si>
  <si>
    <t>59501210</t>
  </si>
  <si>
    <t>rsv@rsv.dk</t>
  </si>
  <si>
    <t>20961503</t>
  </si>
  <si>
    <t>1998-06-15</t>
  </si>
  <si>
    <t>REBO A/S</t>
  </si>
  <si>
    <t>Amager Landevej 174 - 2770 Kastrup</t>
  </si>
  <si>
    <t>32951313</t>
  </si>
  <si>
    <t>info@rebo.dk</t>
  </si>
  <si>
    <t>25277147</t>
  </si>
  <si>
    <t>2000-03-27</t>
  </si>
  <si>
    <t>SLAGTERGADES INSTALLATIONSFORRETNING ApS</t>
  </si>
  <si>
    <t>Ole Rømers Vej 26 - 6100 Haderslev</t>
  </si>
  <si>
    <t>74524848</t>
  </si>
  <si>
    <t>fun@siaps.dk</t>
  </si>
  <si>
    <t>17028235</t>
  </si>
  <si>
    <t>1993-06-01</t>
  </si>
  <si>
    <t>Star VVS Entreprise A/S</t>
  </si>
  <si>
    <t>Murervej 16 - 6710 Esbjerg V</t>
  </si>
  <si>
    <t>6710</t>
  </si>
  <si>
    <t>Esbjerg V</t>
  </si>
  <si>
    <t>13608687</t>
  </si>
  <si>
    <t>1989-10-01</t>
  </si>
  <si>
    <t>STERNBERG VVS &amp; GASTEKNIK A/S</t>
  </si>
  <si>
    <t>Frydensbergvej 20 - 3660 Stenløse</t>
  </si>
  <si>
    <t>3660</t>
  </si>
  <si>
    <t>Stenløse</t>
  </si>
  <si>
    <t>47179228</t>
  </si>
  <si>
    <t>10325005</t>
  </si>
  <si>
    <t>1986-07-01</t>
  </si>
  <si>
    <t>SØREN'S BLIKKENSLAGERFORRETNING AF 1986 ApS</t>
  </si>
  <si>
    <t>Sofievej 8 - 4200 Slagelse</t>
  </si>
  <si>
    <t>58521803</t>
  </si>
  <si>
    <t>26096049</t>
  </si>
  <si>
    <t>2001-06-22</t>
  </si>
  <si>
    <t>TVT A/S</t>
  </si>
  <si>
    <t>Virkevej 5 - 7755 Bedsted Thy</t>
  </si>
  <si>
    <t>7755</t>
  </si>
  <si>
    <t>Bedsted Thy</t>
  </si>
  <si>
    <t>97944020</t>
  </si>
  <si>
    <t>35709312</t>
  </si>
  <si>
    <t>1971-12-29</t>
  </si>
  <si>
    <t>VAGNER KNUDSEN &amp; SØNNER A/S</t>
  </si>
  <si>
    <t>Heimdalsvej 5 - 7200 Grindsted</t>
  </si>
  <si>
    <t>75321866</t>
  </si>
  <si>
    <t>28129211</t>
  </si>
  <si>
    <t>2004-10-18</t>
  </si>
  <si>
    <t>Vel Køl &amp; Entreprise ApS</t>
  </si>
  <si>
    <t>Strandvejen 165 - Næsbystrand - 4200 Slagelse</t>
  </si>
  <si>
    <t>58541314</t>
  </si>
  <si>
    <t>37520128</t>
  </si>
  <si>
    <t>1975-11-13</t>
  </si>
  <si>
    <t>VVS &amp; EL EXPERTEN A/S</t>
  </si>
  <si>
    <t>Energivej 2 - 8740 Brædstrup</t>
  </si>
  <si>
    <t>75751184</t>
  </si>
  <si>
    <t>14285202</t>
  </si>
  <si>
    <t>1990-06-13</t>
  </si>
  <si>
    <t>VVS GRUPPEN FYN ApS</t>
  </si>
  <si>
    <t>Allerupgyden 1 - Vøjstrup - 5672 Broby</t>
  </si>
  <si>
    <t>62632001</t>
  </si>
  <si>
    <t>ml@vvsgruppenfyn.dk</t>
  </si>
  <si>
    <t>25878167</t>
  </si>
  <si>
    <t>2001-02-01</t>
  </si>
  <si>
    <t>VVS-INSTALLATØR POUL CHRISTENSEN A/S</t>
  </si>
  <si>
    <t>Åsvejen 18 - 4330 Hvalsø</t>
  </si>
  <si>
    <t>4330</t>
  </si>
  <si>
    <t>Hvalsø</t>
  </si>
  <si>
    <t>46408802</t>
  </si>
  <si>
    <t>Service, Små opgaver, Entreprise</t>
  </si>
  <si>
    <t>Dansk VVS-installationsvirksomhed med service og projekter for private og erhverv.</t>
  </si>
  <si>
    <t>VVS-teknisk virksomhed med fokus på installation, service og energioptimering.</t>
  </si>
  <si>
    <t>VVS-installationsfirma som udfører service, reparation og vedligehold.</t>
  </si>
  <si>
    <t>Håndværksvirksomhed inden for VVS-service, installation og mindre entrepriser.</t>
  </si>
  <si>
    <t>Entreprenør- og installationsvirksomhed med ydelser inden for VVS og energi.</t>
  </si>
  <si>
    <t>VVS-installatør der udfører installation, eftersyn og serviceopgaver.</t>
  </si>
  <si>
    <t>VVS-firma der tilbyder installationer, vedligehold og akutte servicebesøg.</t>
  </si>
  <si>
    <t>VVS- og energivirksomhed med installation, teknik og servicedrift.</t>
  </si>
  <si>
    <t>Blikkenslager- og VVS-firma med specialer i tag, afvanding og installation.</t>
  </si>
  <si>
    <t>Virksomhed inden for blikarbejde, tagopgaver og VVS-service.</t>
  </si>
  <si>
    <t>Traditionelt blikkenslagerfirma med specialer i facade- og tagløsninger.</t>
  </si>
  <si>
    <t>VVS-servicevirksomhed der udfører installationer, reparation og eftersyn.</t>
  </si>
  <si>
    <t>VVS-installatør med fokus på energioptimering og tekniske installationer.</t>
  </si>
  <si>
    <t>Lokal VVS- og blikkenslagervirksomhed med service og installationer.</t>
  </si>
  <si>
    <t>Installations- og servicefirma inden for VVS og industriopgaver.</t>
  </si>
  <si>
    <t>Teknisk installationsvirksomhed inden for VVS, energi og ventilation.</t>
  </si>
  <si>
    <t>VVS-installatør med både traditionelle installationer og moderne energiløsninger.</t>
  </si>
  <si>
    <t>Tværfaglig servicevirksomhed inden for byggeri, installation og reparation.</t>
  </si>
  <si>
    <t>Specialister i ventilationssystemer for private, erhverv og industri.</t>
  </si>
  <si>
    <t>VVS-installatør med fokus på service, varme og sanitære installationer.</t>
  </si>
  <si>
    <t>VVS-firma som udfører installation, reparation og serviceopgaver.</t>
  </si>
  <si>
    <t>Lokal VVS-installatør med fokus på service, vand og varmeløsninger.</t>
  </si>
  <si>
    <t>VVS- og energivirksomhed med fokus på varme, vand og ventilation.</t>
  </si>
  <si>
    <t>Teknisk entreprenør inden for ventilation, energioptimering og indeklima.</t>
  </si>
  <si>
    <t>Installationsfirma inden for VVS-service, vedligehold og energi.</t>
  </si>
  <si>
    <t>Entreprise- og servicevirksomhed inden for VVS, ventilation og energi.</t>
  </si>
  <si>
    <t>VVS-firma med installation, reparation og tekniske serviceopgaver.</t>
  </si>
  <si>
    <t>Traditionel VVS-installatør med service og byggeprojekter i markedet.</t>
  </si>
  <si>
    <t>Lokal VVS-servicevirksomhed for private, erhverv og offentlige kunder.</t>
  </si>
  <si>
    <t>VVS-installatør med fokus på moderne varme- og vandinstallationer.</t>
  </si>
  <si>
    <t>VVS-teknisk virksomhed med industrielle og erhvervsorienterede løsninger.</t>
  </si>
  <si>
    <t>Installationsfirma inden for VVS, energi og servicetekniske opgaver.</t>
  </si>
  <si>
    <t>Specialister i ventilation, luftsystemer og indeklimaprojekter.</t>
  </si>
  <si>
    <t>VVS-firma der tilbyder installation, service og teknisk vedligehold.</t>
  </si>
  <si>
    <t>Ventilationsvirksomhed med løsninger til erhverv og boligprojekter.</t>
  </si>
  <si>
    <t>Installatør af ventilationsanlæg, udsugning og indeklimaoptimering.</t>
  </si>
  <si>
    <t>Virksomhed inden for ventilation, energi og klimastyring i byggeri.</t>
  </si>
  <si>
    <t>VVS-installatør med service, montage og tekniske installationer.</t>
  </si>
  <si>
    <t>Montagevirksomhed inden for tekniske installationer og industriprojekter.</t>
  </si>
  <si>
    <t>Lokal VVS-servicevirksomhed med varme-, vand- og blikkenslageropgaver.</t>
  </si>
  <si>
    <t>Teknisk installationsfirma med fokus på energieffektive VVS-løsninger.</t>
  </si>
  <si>
    <t>VVS-virksomhed med fokus på komfortsystemer, varme og sanitære installationer.</t>
  </si>
  <si>
    <t>Teknisk virksomhed specialiseret i køl-, frys- og energiløsninger.</t>
  </si>
  <si>
    <t>VVS- og energivirksomhed med fokus på varmepumper og optimering.</t>
  </si>
  <si>
    <t>VVS-installatør der leverer service og installation for private og erhverv.</t>
  </si>
  <si>
    <t>Entreprisevirksomhed inden for VVS-installationer i byggeprojekter.</t>
  </si>
  <si>
    <t>Teknisk servicevirksomhed med fokus på varme, energi og installationer.</t>
  </si>
  <si>
    <t>Smede- og VVS-virksomhed med montage, reparation og industriservice.</t>
  </si>
  <si>
    <t>Lokal VVS-installatør med fokus på reparation, installation og service.</t>
  </si>
  <si>
    <t>Installationsvirksomhed inden for VVS, energi og teknik.</t>
  </si>
  <si>
    <t>Entreprisevirksomhed med tekniske installationer i større byggeprojekter.</t>
  </si>
  <si>
    <t>Servicevirksomhed inden for VVS, ventilation og teknisk drift.</t>
  </si>
  <si>
    <t>Specialiseret virksomhed inden for rørforing og renovering af afløbssystemer.</t>
  </si>
  <si>
    <t>Smedevirksomhed med montage, konstruktion og industriservice.</t>
  </si>
  <si>
    <t>Teknisk servicevirksomhed inden for ventilation, køl og energi.</t>
  </si>
  <si>
    <t>Lokalt installationsfirma med VVS-service og vedligehold.</t>
  </si>
  <si>
    <t>Entreprisevirksomhed inden for større VVS-installationer i byggeriet.</t>
  </si>
  <si>
    <t>VVS-firma med specialer i gasinstallationer og varmeløsninger.</t>
  </si>
  <si>
    <t>Blikkenslagerfirma med tag-, facade- og afvandingsopgaver.</t>
  </si>
  <si>
    <t>Teknisk installationsvirksomhed inden for ventilation, teknik og energi.</t>
  </si>
  <si>
    <t>Håndværksvirksomhed inden for VVS, blik og tekniske installationer.</t>
  </si>
  <si>
    <t>Entreprisevirksomhed med fokus på køl-, teknik og servicedrift.</t>
  </si>
  <si>
    <t>Multidisciplinært firma inden for VVS- og el-installationer.</t>
  </si>
  <si>
    <t>Regional VVS-virksomhed med installation, vedligehold og service.</t>
  </si>
  <si>
    <t>VVS-installatør der leverer installation, servicetjek og tekniske løsninger.</t>
  </si>
  <si>
    <t>14797475</t>
  </si>
  <si>
    <t>1990-12-03</t>
  </si>
  <si>
    <t>A/S BOTICA ENTREPRISE</t>
  </si>
  <si>
    <t>Langager 4 - 2680 Solrød Strand</t>
  </si>
  <si>
    <t>433200 Tømrer- og bygningssnedkeraktiviteter</t>
  </si>
  <si>
    <t>33222550</t>
  </si>
  <si>
    <t>entreprise@botica.dk</t>
  </si>
  <si>
    <t>36981482</t>
  </si>
  <si>
    <t>2015-08-06</t>
  </si>
  <si>
    <t>AJ-Byg ApS</t>
  </si>
  <si>
    <t>C/O Aj-byg aps, C/O Aj-byg aps - Skebjergvej 33 - Smørumnedre - 2765 Smørum</t>
  </si>
  <si>
    <t>28297334</t>
  </si>
  <si>
    <t>aj@aj-byggeri.dk</t>
  </si>
  <si>
    <t>20404841</t>
  </si>
  <si>
    <t>ASKOV FUGER OG TRÆBYG A/S</t>
  </si>
  <si>
    <t>Arnfredsvej 2 - 6600 Vejen</t>
  </si>
  <si>
    <t>75362773</t>
  </si>
  <si>
    <t>kontakt@askovfuger.dk</t>
  </si>
  <si>
    <t>28304285</t>
  </si>
  <si>
    <t>2004-12-20</t>
  </si>
  <si>
    <t>ASNÆS MASKINSNEDKERI ApS</t>
  </si>
  <si>
    <t>Lille Toftegårdsvej 3 - 4550 Asnæs</t>
  </si>
  <si>
    <t>4550</t>
  </si>
  <si>
    <t>Asnæs</t>
  </si>
  <si>
    <t>21492809</t>
  </si>
  <si>
    <t>1998-12-30</t>
  </si>
  <si>
    <t>BAL BYG A/S</t>
  </si>
  <si>
    <t>Tempovej 37B - 2750 Ballerup</t>
  </si>
  <si>
    <t>hans@ballerup-isolering.dk</t>
  </si>
  <si>
    <t>20041234</t>
  </si>
  <si>
    <t>1997-02-01</t>
  </si>
  <si>
    <t>BB Bygge &amp; Entreprenørfirma A/S</t>
  </si>
  <si>
    <t>Bygmestervej 8 - 9560 Hadsund</t>
  </si>
  <si>
    <t>9560</t>
  </si>
  <si>
    <t>Hadsund</t>
  </si>
  <si>
    <t>70286622</t>
  </si>
  <si>
    <t>info@bb-byg.dk</t>
  </si>
  <si>
    <t>24238822</t>
  </si>
  <si>
    <t>1999-09-01</t>
  </si>
  <si>
    <t>BEATRÆ A/S SNEDKER- OG TØMRERFIRMA</t>
  </si>
  <si>
    <t>Ringbakken 5 - Ganløse - 3660 Stenløse</t>
  </si>
  <si>
    <t>48181111</t>
  </si>
  <si>
    <t>25785827</t>
  </si>
  <si>
    <t>2000-12-01</t>
  </si>
  <si>
    <t>BGB A/S</t>
  </si>
  <si>
    <t>Marienlystvej 53 - 7800 Skive</t>
  </si>
  <si>
    <t>27047572</t>
  </si>
  <si>
    <t>2003-02-19</t>
  </si>
  <si>
    <t>BJARNE THOMSEN TØMRER- OG SNEDKERFIRMA ApS</t>
  </si>
  <si>
    <t>Nr Bjertvej 9A - Bjert - 7830 Vinderup</t>
  </si>
  <si>
    <t>97441102</t>
  </si>
  <si>
    <t>27989233</t>
  </si>
  <si>
    <t>2004-08-12</t>
  </si>
  <si>
    <t>BMT BYG A/S</t>
  </si>
  <si>
    <t>Kirstinehøj 53 - 2770 Kastrup</t>
  </si>
  <si>
    <t>32972121</t>
  </si>
  <si>
    <t>62051914</t>
  </si>
  <si>
    <t>1980-07-15</t>
  </si>
  <si>
    <t>BNB Udlejning ApS</t>
  </si>
  <si>
    <t>Brovangen 15 - 3720 Aakirkeby</t>
  </si>
  <si>
    <t>56975252</t>
  </si>
  <si>
    <t>34624046</t>
  </si>
  <si>
    <t>2012-08-01</t>
  </si>
  <si>
    <t>BYG-GRØNT ApS</t>
  </si>
  <si>
    <t>Snellemark 30 - 3700 Rønne</t>
  </si>
  <si>
    <t>60809792</t>
  </si>
  <si>
    <t>kontor@byg-groent.dk</t>
  </si>
  <si>
    <t>26040957</t>
  </si>
  <si>
    <t>BYGGEFIRMAET SV. IVERSEN NAKSKOV A/S</t>
  </si>
  <si>
    <t>Løjtoftevej 48 - 4900 Nakskov</t>
  </si>
  <si>
    <t>4900</t>
  </si>
  <si>
    <t>Nakskov</t>
  </si>
  <si>
    <t>54950916</t>
  </si>
  <si>
    <t>jj@iversenas.dk</t>
  </si>
  <si>
    <t>28693230</t>
  </si>
  <si>
    <t>2005-04-08</t>
  </si>
  <si>
    <t>BYTØMREREN A/S</t>
  </si>
  <si>
    <t>P.O. Pedersens Vej 14E - Skejby - 8200 Aarhus N</t>
  </si>
  <si>
    <t>86133811</t>
  </si>
  <si>
    <t>info@bytomreren.dk</t>
  </si>
  <si>
    <t>37331678</t>
  </si>
  <si>
    <t>2015-12-30</t>
  </si>
  <si>
    <t>Bytømreren Service A/S</t>
  </si>
  <si>
    <t>19158187</t>
  </si>
  <si>
    <t>1996-04-15</t>
  </si>
  <si>
    <t>CARTON BYG ApS</t>
  </si>
  <si>
    <t>Snedkervej 8 - 6710 Esbjerg V</t>
  </si>
  <si>
    <t>info@carton.dk</t>
  </si>
  <si>
    <t>86966018</t>
  </si>
  <si>
    <t>1979-08-01</t>
  </si>
  <si>
    <t>CASADANA A/S</t>
  </si>
  <si>
    <t>Baldershøj 28 - 2635 Ishøj</t>
  </si>
  <si>
    <t>2635</t>
  </si>
  <si>
    <t>Ishøj</t>
  </si>
  <si>
    <t>43967373</t>
  </si>
  <si>
    <t>info@casadana.dk</t>
  </si>
  <si>
    <t>19227936</t>
  </si>
  <si>
    <t>1996-04-01</t>
  </si>
  <si>
    <t>CBS BYG ApS</t>
  </si>
  <si>
    <t>Ranumvej 6 - Vilsted - 9670 Løgstør</t>
  </si>
  <si>
    <t>info@cbsbyg.dk</t>
  </si>
  <si>
    <t>30610903</t>
  </si>
  <si>
    <t>2007-06-14</t>
  </si>
  <si>
    <t>CP BYG ApS</t>
  </si>
  <si>
    <t>Østergade 4 - Allested - 5672 Broby</t>
  </si>
  <si>
    <t>62691426</t>
  </si>
  <si>
    <t>cp@cpbyg.dk</t>
  </si>
  <si>
    <t>31366550</t>
  </si>
  <si>
    <t>2008-04-03</t>
  </si>
  <si>
    <t>CURACON A/S</t>
  </si>
  <si>
    <t>Marielundvej 48B - 2730 Herlev</t>
  </si>
  <si>
    <t>44532460</t>
  </si>
  <si>
    <t>66674517</t>
  </si>
  <si>
    <t>1981-06-17</t>
  </si>
  <si>
    <t>DEKO P/S</t>
  </si>
  <si>
    <t>Mårkærvej 11 - 2630 Taastrup</t>
  </si>
  <si>
    <t>Kommanditaktieselskab/Partnerselskab</t>
  </si>
  <si>
    <t>43557711</t>
  </si>
  <si>
    <t>ja@deko.dk</t>
  </si>
  <si>
    <t>29145563</t>
  </si>
  <si>
    <t>2005-10-17</t>
  </si>
  <si>
    <t>DENKO A/S</t>
  </si>
  <si>
    <t>Jægersborg Alle 47 - 2920 Charlottenlund</t>
  </si>
  <si>
    <t>2920</t>
  </si>
  <si>
    <t>Charlottenlund</t>
  </si>
  <si>
    <t>39625005</t>
  </si>
  <si>
    <t>dk@denko.dk</t>
  </si>
  <si>
    <t>32364640</t>
  </si>
  <si>
    <t>2009-08-12</t>
  </si>
  <si>
    <t>DOMUS BYG A/S</t>
  </si>
  <si>
    <t>Gl. Hobrovej 180 - 8920 Randers NV</t>
  </si>
  <si>
    <t>75944519</t>
  </si>
  <si>
    <t>1984-06-25</t>
  </si>
  <si>
    <t>Drøhse - Tømrer &amp; Snedker ApS</t>
  </si>
  <si>
    <t>Hedelykkevej 2 - Ulstrup - 6240 Løgumkloster</t>
  </si>
  <si>
    <t>6240</t>
  </si>
  <si>
    <t>Løgumkloster</t>
  </si>
  <si>
    <t>26083834</t>
  </si>
  <si>
    <t>2001-01-01</t>
  </si>
  <si>
    <t>EGON OLSEN &amp; SØN A/S</t>
  </si>
  <si>
    <t>Langager 2 - 2680 Solrød Strand</t>
  </si>
  <si>
    <t>56148090</t>
  </si>
  <si>
    <t>20398930</t>
  </si>
  <si>
    <t>1997-06-30</t>
  </si>
  <si>
    <t>EM TØMRER OG SNEDKER ApS</t>
  </si>
  <si>
    <t>Thorsøvej 85 - Grølsted - 8882 Fårvang</t>
  </si>
  <si>
    <t>8882</t>
  </si>
  <si>
    <t>Fårvang</t>
  </si>
  <si>
    <t>86872299</t>
  </si>
  <si>
    <t>80898428</t>
  </si>
  <si>
    <t>1977-05-11</t>
  </si>
  <si>
    <t>ERLING ANDERSEN. SNEDKER- &amp; TØMRERFORRETNING A/S</t>
  </si>
  <si>
    <t>Lille Kolstrup 30 - 6200 Aabenraa</t>
  </si>
  <si>
    <t>6200</t>
  </si>
  <si>
    <t>Aabenraa</t>
  </si>
  <si>
    <t>74627000</t>
  </si>
  <si>
    <t>rene@erlingandersen.dk</t>
  </si>
  <si>
    <t>21799386</t>
  </si>
  <si>
    <t>1999-06-10</t>
  </si>
  <si>
    <t>FLEMMING SCHRØDER A/S</t>
  </si>
  <si>
    <t>Rødvigvej 3 - 4660 Store Heddinge</t>
  </si>
  <si>
    <t>4660</t>
  </si>
  <si>
    <t>Store Heddinge</t>
  </si>
  <si>
    <t>56503575</t>
  </si>
  <si>
    <t>18670488</t>
  </si>
  <si>
    <t>1995-06-28</t>
  </si>
  <si>
    <t>FREDERIKSVÆRK BROLÆGNING A/S</t>
  </si>
  <si>
    <t>Sommervej 5B - 3300 Frederiksværk</t>
  </si>
  <si>
    <t>47722059</t>
  </si>
  <si>
    <t>34725306</t>
  </si>
  <si>
    <t>2012-10-25</t>
  </si>
  <si>
    <t>GAMBORG BYG ApS</t>
  </si>
  <si>
    <t>Farvervej 3 - 8800 Viborg</t>
  </si>
  <si>
    <t>82735011</t>
  </si>
  <si>
    <t>1977-12-08</t>
  </si>
  <si>
    <t>GEORG BERG A/S</t>
  </si>
  <si>
    <t>Skovsøvej 23 - Skovsø - 4200 Slagelse</t>
  </si>
  <si>
    <t>25582780</t>
  </si>
  <si>
    <t>2000-08-29</t>
  </si>
  <si>
    <t>GOBO BYG A/S</t>
  </si>
  <si>
    <t>C/O Dennis Warring Rusholt, C/O Dennis Warring Rusholt - Stenhøjvej 4 - 3650 Ølstykke</t>
  </si>
  <si>
    <t>46760039</t>
  </si>
  <si>
    <t>16206946</t>
  </si>
  <si>
    <t>1992-06-24</t>
  </si>
  <si>
    <t>GRANLY TØMRER- OG SNEDKERFORRETNING A/S</t>
  </si>
  <si>
    <t>Håndværkervej 11 - 9690 Fjerritslev</t>
  </si>
  <si>
    <t>98211535</t>
  </si>
  <si>
    <t>27731511</t>
  </si>
  <si>
    <t>GÅNSAGER TØMRER- OG SNEDKERFORRETNING A/S</t>
  </si>
  <si>
    <t>Østerlundvej 3 - Gånsager - 6780 Skærbæk</t>
  </si>
  <si>
    <t>74751000</t>
  </si>
  <si>
    <t>26494591</t>
  </si>
  <si>
    <t>2002-03-01</t>
  </si>
  <si>
    <t>H.K. ENTREPRISE ApS</t>
  </si>
  <si>
    <t>Donsevej 4 - 2970 Hørsholm</t>
  </si>
  <si>
    <t>2970</t>
  </si>
  <si>
    <t>Hørsholm</t>
  </si>
  <si>
    <t>15299177</t>
  </si>
  <si>
    <t>1991-06-24</t>
  </si>
  <si>
    <t>HADBJERG TØMRERFIRMA - MIKKELSEN &amp; SØN A/S</t>
  </si>
  <si>
    <t>Bavnehøjvej 160 - Hadbjerg - 8370 Hadsten</t>
  </si>
  <si>
    <t>86914190</t>
  </si>
  <si>
    <t>info@hadbjergtomrerfirma.dk</t>
  </si>
  <si>
    <t>14964134</t>
  </si>
  <si>
    <t>1991-03-14</t>
  </si>
  <si>
    <t>HEJ TØMREREN ApS</t>
  </si>
  <si>
    <t>Bakkevej 18 - 4293 Dianalund</t>
  </si>
  <si>
    <t>4293</t>
  </si>
  <si>
    <t>Dianalund</t>
  </si>
  <si>
    <t>58264253</t>
  </si>
  <si>
    <t>17351680</t>
  </si>
  <si>
    <t>1993-07-01</t>
  </si>
  <si>
    <t>HELMER CHRISTIANSEN A/S</t>
  </si>
  <si>
    <t>Snedkergangen 6 - 2690 Karlslunde</t>
  </si>
  <si>
    <t>46152955</t>
  </si>
  <si>
    <t>73479819</t>
  </si>
  <si>
    <t>1984-01-20</t>
  </si>
  <si>
    <t>HJB BYGGEFORRETNING ApS</t>
  </si>
  <si>
    <t>Kaj Mogensens Vej 1 - 3700 Rønne</t>
  </si>
  <si>
    <t>56950709</t>
  </si>
  <si>
    <t>20748079</t>
  </si>
  <si>
    <t>HOLM TØMRER-OG SNEDKERFIRMA A/S</t>
  </si>
  <si>
    <t>Metalbuen 24 - 2750 Ballerup</t>
  </si>
  <si>
    <t>44653448</t>
  </si>
  <si>
    <t>21744980</t>
  </si>
  <si>
    <t>1999-05-29</t>
  </si>
  <si>
    <t>HOLT BYG ApS</t>
  </si>
  <si>
    <t>Hørvej 50 - 9270 Klarup</t>
  </si>
  <si>
    <t>holtbyg@holtbyg.dk</t>
  </si>
  <si>
    <t>27976832</t>
  </si>
  <si>
    <t>HOVBY MASKINSNEDKERI ApS</t>
  </si>
  <si>
    <t>Kalvehavevej 4 - Hovby - 4640 Faxe</t>
  </si>
  <si>
    <t>52773628</t>
  </si>
  <si>
    <t>1975-06-20</t>
  </si>
  <si>
    <t>IB ASFERG A/S</t>
  </si>
  <si>
    <t>Immerkær 46 - 2650 Hvidovre</t>
  </si>
  <si>
    <t>38191450</t>
  </si>
  <si>
    <t>20284072</t>
  </si>
  <si>
    <t>1997-07-01</t>
  </si>
  <si>
    <t>INTERN A/S</t>
  </si>
  <si>
    <t>Krondalvej 8 - 2610 Rødovre</t>
  </si>
  <si>
    <t>83955716</t>
  </si>
  <si>
    <t>1978-03-31</t>
  </si>
  <si>
    <t>JAKON A/S</t>
  </si>
  <si>
    <t>Baltorpbakken 9 - 2750 Ballerup</t>
  </si>
  <si>
    <t>44830200</t>
  </si>
  <si>
    <t>35226966</t>
  </si>
  <si>
    <t>2013-04-04</t>
  </si>
  <si>
    <t>JBS ApS</t>
  </si>
  <si>
    <t>Stensbjergvej 12 - Gierslev - 4270 Høng</t>
  </si>
  <si>
    <t>4270</t>
  </si>
  <si>
    <t>Høng</t>
  </si>
  <si>
    <t>26830210</t>
  </si>
  <si>
    <t>jbs.jelstrup@gmail.com</t>
  </si>
  <si>
    <t>31760720</t>
  </si>
  <si>
    <t>2008-09-22</t>
  </si>
  <si>
    <t>JENS JENSEN TØMRER &amp; SNEDKER A/S</t>
  </si>
  <si>
    <t>10934370</t>
  </si>
  <si>
    <t>1987-06-12</t>
  </si>
  <si>
    <t>JESSEN TØMRER - SNEDKER ApS</t>
  </si>
  <si>
    <t>Industrivej 1B - 6630 Rødding</t>
  </si>
  <si>
    <t>6630</t>
  </si>
  <si>
    <t>Rødding</t>
  </si>
  <si>
    <t>74841972</t>
  </si>
  <si>
    <t>26179599</t>
  </si>
  <si>
    <t>2001-08-13</t>
  </si>
  <si>
    <t>JUNGE BYG A/S</t>
  </si>
  <si>
    <t>Industrikrogen 1 - Filskov - 7200 Grindsted</t>
  </si>
  <si>
    <t>26930332</t>
  </si>
  <si>
    <t>2002-12-27</t>
  </si>
  <si>
    <t>JØRGEN LUND FREDERIKSEN A/S</t>
  </si>
  <si>
    <t>Essen 37 - 6000 Kolding</t>
  </si>
  <si>
    <t>75567018</t>
  </si>
  <si>
    <t>15647140</t>
  </si>
  <si>
    <t>Jørgensen &amp; Sunesen ApS</t>
  </si>
  <si>
    <t>Engvej 4 - 6600 Vejen</t>
  </si>
  <si>
    <t>75360084</t>
  </si>
  <si>
    <t>bogholderi@vejenlift.dk</t>
  </si>
  <si>
    <t>19353737</t>
  </si>
  <si>
    <t>1996-06-24</t>
  </si>
  <si>
    <t>KASTBERG A/S</t>
  </si>
  <si>
    <t>Vestvej 13 - 9600 Aars</t>
  </si>
  <si>
    <t>38640852</t>
  </si>
  <si>
    <t>2017-05-11</t>
  </si>
  <si>
    <t>KEH Gruppen ApS</t>
  </si>
  <si>
    <t>Naverland 22B - 2600 Glostrup</t>
  </si>
  <si>
    <t>46596226</t>
  </si>
  <si>
    <t>keh@kehgruppen.dk</t>
  </si>
  <si>
    <t>35381945</t>
  </si>
  <si>
    <t>2013-06-20</t>
  </si>
  <si>
    <t>KELD HERMANN A/S</t>
  </si>
  <si>
    <t>Industrivej 1 - 5853 Ørbæk</t>
  </si>
  <si>
    <t>5853</t>
  </si>
  <si>
    <t>Ørbæk</t>
  </si>
  <si>
    <t>19706133</t>
  </si>
  <si>
    <t>1996-12-12</t>
  </si>
  <si>
    <t>KLITTENS TØMRER ApS</t>
  </si>
  <si>
    <t>Parallelvej 324 - 6960 Hvide Sande</t>
  </si>
  <si>
    <t>6960</t>
  </si>
  <si>
    <t>Hvide Sande</t>
  </si>
  <si>
    <t>97311314</t>
  </si>
  <si>
    <t>34878803</t>
  </si>
  <si>
    <t>2012-12-06</t>
  </si>
  <si>
    <t>KURT KIRKEGAARD A/S</t>
  </si>
  <si>
    <t>Kornmarken 1 - 7190 Billund</t>
  </si>
  <si>
    <t>7190</t>
  </si>
  <si>
    <t>Billund</t>
  </si>
  <si>
    <t>10000769</t>
  </si>
  <si>
    <t>1999-10-15</t>
  </si>
  <si>
    <t>KVIST OG KRISTENSEN A/S</t>
  </si>
  <si>
    <t>Restrup Skovvej 36 - 9240 Nibe</t>
  </si>
  <si>
    <t>9240</t>
  </si>
  <si>
    <t>Nibe</t>
  </si>
  <si>
    <t>19810003</t>
  </si>
  <si>
    <t>1997-01-01</t>
  </si>
  <si>
    <t>LAFUCO A/S</t>
  </si>
  <si>
    <t>Baldershøj 26B - 2635 Ishøj</t>
  </si>
  <si>
    <t>43534040</t>
  </si>
  <si>
    <t>mail@lafuco.dk</t>
  </si>
  <si>
    <t>10895979</t>
  </si>
  <si>
    <t>1987-06-29</t>
  </si>
  <si>
    <t>LARSEN OG TAMBORG A/S</t>
  </si>
  <si>
    <t>Knivholtvej 12 - 9900 Frederikshavn</t>
  </si>
  <si>
    <t>98426622</t>
  </si>
  <si>
    <t>mail@larsen-tamborg.dk</t>
  </si>
  <si>
    <t>25767918</t>
  </si>
  <si>
    <t>2000-11-21</t>
  </si>
  <si>
    <t>LUND BYGGEFIRMA A/S</t>
  </si>
  <si>
    <t>Hulbækvej 28 - Mollerup - 8830 Tjele</t>
  </si>
  <si>
    <t>86652555</t>
  </si>
  <si>
    <t>hl@lundbyggefirma.dk</t>
  </si>
  <si>
    <t>33761929</t>
  </si>
  <si>
    <t>2011-06-17</t>
  </si>
  <si>
    <t>LY-BYG ApS</t>
  </si>
  <si>
    <t>Toftevej 16 - 7080 Børkop</t>
  </si>
  <si>
    <t>7080</t>
  </si>
  <si>
    <t>Børkop</t>
  </si>
  <si>
    <t>10520495</t>
  </si>
  <si>
    <t>1986-10-01</t>
  </si>
  <si>
    <t>M K HUSE ApS</t>
  </si>
  <si>
    <t>Mariendalsvej 11A - 8800 Viborg</t>
  </si>
  <si>
    <t>86675083</t>
  </si>
  <si>
    <t>25885872</t>
  </si>
  <si>
    <t>2001-02-08</t>
  </si>
  <si>
    <t>MADSEN &amp; HEDEGAARD A/S</t>
  </si>
  <si>
    <t>Hedevej 28 - 9800 Hjørring</t>
  </si>
  <si>
    <t>98920462</t>
  </si>
  <si>
    <t>mail@madsen-hedegaard.dk</t>
  </si>
  <si>
    <t>17964496</t>
  </si>
  <si>
    <t>1994-09-10</t>
  </si>
  <si>
    <t>MASKINSNEDKERIET PHØNIX. BRDR. IVERSEN ApS</t>
  </si>
  <si>
    <t>Vestervold 24B - 6800 Varde</t>
  </si>
  <si>
    <t>75221400</t>
  </si>
  <si>
    <t>40077332</t>
  </si>
  <si>
    <t>2018-12-07</t>
  </si>
  <si>
    <t>Michael Lund A/S</t>
  </si>
  <si>
    <t>Jellingvej 1B - 9230 Svenstrup J</t>
  </si>
  <si>
    <t>34470766</t>
  </si>
  <si>
    <t>2012-03-30</t>
  </si>
  <si>
    <t>MOGENS V. ZELTNER A/S</t>
  </si>
  <si>
    <t>Rugmarken 14 - 3520 Farum</t>
  </si>
  <si>
    <t>44950744</t>
  </si>
  <si>
    <t>mvz@mvz.dk</t>
  </si>
  <si>
    <t>32091113</t>
  </si>
  <si>
    <t>2009-04-02</t>
  </si>
  <si>
    <t>MORSØ TØMRER- OG SNEDKERFORRETNING A/S</t>
  </si>
  <si>
    <t>N. A. Christensens Vej 14 - 7900 Nykøbing M</t>
  </si>
  <si>
    <t>7900</t>
  </si>
  <si>
    <t>Nykøbing M</t>
  </si>
  <si>
    <t>97723566</t>
  </si>
  <si>
    <t>ga@mtsmors.dk</t>
  </si>
  <si>
    <t>35410759</t>
  </si>
  <si>
    <t>2013-08-08</t>
  </si>
  <si>
    <t>NAUTIC WOOD ApS</t>
  </si>
  <si>
    <t>Dokvej 3 - 5985 Søby Ærø</t>
  </si>
  <si>
    <t>5985</t>
  </si>
  <si>
    <t>Søby Ærø</t>
  </si>
  <si>
    <t>26105978</t>
  </si>
  <si>
    <t>2001-06-25</t>
  </si>
  <si>
    <t>Niels Lien A/S</t>
  </si>
  <si>
    <t>Parcelgårdsvej 1 - 4200 Slagelse</t>
  </si>
  <si>
    <t>58525190</t>
  </si>
  <si>
    <t>nl@nielslien.dk</t>
  </si>
  <si>
    <t>30486072</t>
  </si>
  <si>
    <t>2007-03-08</t>
  </si>
  <si>
    <t>NØRAA ENTREPRISE A/S</t>
  </si>
  <si>
    <t>Energivej 27C - 3000 Helsingør</t>
  </si>
  <si>
    <t>49224396</t>
  </si>
  <si>
    <t>15213485</t>
  </si>
  <si>
    <t>1991-04-01</t>
  </si>
  <si>
    <t>PALLE W. HANSEN, AALBORG A/S</t>
  </si>
  <si>
    <t>Thorndahlsvej 8 - 9200 Aalborg SV</t>
  </si>
  <si>
    <t>98180266</t>
  </si>
  <si>
    <t>mail@pallewhansen.dk</t>
  </si>
  <si>
    <t>32659616</t>
  </si>
  <si>
    <t>2009-12-17</t>
  </si>
  <si>
    <t>PALLISGAARD A/S</t>
  </si>
  <si>
    <t>Kaolinvej 8 - 9220 Aalborg Øst</t>
  </si>
  <si>
    <t>68323118</t>
  </si>
  <si>
    <t>1982-05-06</t>
  </si>
  <si>
    <t>POUL RASMUSSEN A/S</t>
  </si>
  <si>
    <t>Hjorslevvej 23 - 5450 Otterup</t>
  </si>
  <si>
    <t>64825488</t>
  </si>
  <si>
    <t>info@prbyggeri.dk</t>
  </si>
  <si>
    <t>59581511</t>
  </si>
  <si>
    <t>1976-06-18</t>
  </si>
  <si>
    <t>PRIBO HUSET ApS</t>
  </si>
  <si>
    <t>Skovbrynet 3 - 4773 Stensved</t>
  </si>
  <si>
    <t>4773</t>
  </si>
  <si>
    <t>Stensved</t>
  </si>
  <si>
    <t>55386328</t>
  </si>
  <si>
    <t>33650302</t>
  </si>
  <si>
    <t>2011-05-17</t>
  </si>
  <si>
    <t>PS LUNDGAARD A/S</t>
  </si>
  <si>
    <t>Jellingvej 32 - 7182 Bredsten</t>
  </si>
  <si>
    <t>7182</t>
  </si>
  <si>
    <t>Bredsten</t>
  </si>
  <si>
    <t>19685039</t>
  </si>
  <si>
    <t>1996-11-01</t>
  </si>
  <si>
    <t>RISSKOV TØMRER- OG SNEDKERFORRETNING A/S</t>
  </si>
  <si>
    <t>Viengevej 1 - 8240 Risskov</t>
  </si>
  <si>
    <t>86211333</t>
  </si>
  <si>
    <t>26654653</t>
  </si>
  <si>
    <t>2002-06-06</t>
  </si>
  <si>
    <t>SKOU GRUPPEN A/S</t>
  </si>
  <si>
    <t>Kærvej 34 - 2970 Hørsholm</t>
  </si>
  <si>
    <t>45867404</t>
  </si>
  <si>
    <t>35853073</t>
  </si>
  <si>
    <t>2014-05-14</t>
  </si>
  <si>
    <t>Snedkergården A/S</t>
  </si>
  <si>
    <t>Vestre Maltvej 1 - 6650 Brørup</t>
  </si>
  <si>
    <t>6650</t>
  </si>
  <si>
    <t>Brørup</t>
  </si>
  <si>
    <t>31943485</t>
  </si>
  <si>
    <t>2009-01-23</t>
  </si>
  <si>
    <t>SVANEENG A/S</t>
  </si>
  <si>
    <t>Ejby Industrivej 72 - 2600 Glostrup</t>
  </si>
  <si>
    <t>56142312</t>
  </si>
  <si>
    <t>1976-03-19</t>
  </si>
  <si>
    <t>SVENDSEN KONGERSLEV ApS</t>
  </si>
  <si>
    <t>Syrenvej 6 - 9293 Kongerslev</t>
  </si>
  <si>
    <t>9293</t>
  </si>
  <si>
    <t>Kongerslev</t>
  </si>
  <si>
    <t>98331422</t>
  </si>
  <si>
    <t>25068874</t>
  </si>
  <si>
    <t>1999-11-01</t>
  </si>
  <si>
    <t>TAGSNEDKEREN ApS</t>
  </si>
  <si>
    <t>Sorøvej 68 - 4295 Stenlille</t>
  </si>
  <si>
    <t>4295</t>
  </si>
  <si>
    <t>Stenlille</t>
  </si>
  <si>
    <t>27118402</t>
  </si>
  <si>
    <t>2003-04-22</t>
  </si>
  <si>
    <t>TC OXLUND A/S</t>
  </si>
  <si>
    <t>Industrivej Vest 4 - 6600 Vejen</t>
  </si>
  <si>
    <t>30726227</t>
  </si>
  <si>
    <t>TERP &amp; CO. ApS</t>
  </si>
  <si>
    <t>Håndværkervej 13 - 6710 Esbjerg V</t>
  </si>
  <si>
    <t>76100130</t>
  </si>
  <si>
    <t>harald@terpandco.com</t>
  </si>
  <si>
    <t>26995523</t>
  </si>
  <si>
    <t>TJ TØMRERSERVICE ApS</t>
  </si>
  <si>
    <t>Audebo Skolevej 14 - 4300 Holbæk</t>
  </si>
  <si>
    <t>59464242</t>
  </si>
  <si>
    <t>20406739</t>
  </si>
  <si>
    <t>1997-06-23</t>
  </si>
  <si>
    <t>TKP BYG A/S</t>
  </si>
  <si>
    <t>Sintrupvej 61 - 8220 Brabrand</t>
  </si>
  <si>
    <t>86263104</t>
  </si>
  <si>
    <t>10323002</t>
  </si>
  <si>
    <t>TOPPENBERG H.O.K. A/S</t>
  </si>
  <si>
    <t>Sundsholmen 9 - 9400 Nørresundby</t>
  </si>
  <si>
    <t>9400</t>
  </si>
  <si>
    <t>Nørresundby</t>
  </si>
  <si>
    <t>98192922</t>
  </si>
  <si>
    <t>info@toppenberg-hok.dk</t>
  </si>
  <si>
    <t>35051899</t>
  </si>
  <si>
    <t>2013-03-05</t>
  </si>
  <si>
    <t>TORP BYG TOTALLØSNINGER ApS</t>
  </si>
  <si>
    <t>Gugvej 124 - 9210 Aalborg SØ</t>
  </si>
  <si>
    <t>9210</t>
  </si>
  <si>
    <t>Aalborg SØ</t>
  </si>
  <si>
    <t>98101797</t>
  </si>
  <si>
    <t>kt@torpbyg.dk</t>
  </si>
  <si>
    <t>26273366</t>
  </si>
  <si>
    <t>2001-10-15</t>
  </si>
  <si>
    <t>TØMRER- OG MURERFIRMAET JENSEN OG JENSEN A/S</t>
  </si>
  <si>
    <t>Ivar Lundgaards Vej 21 - 7500 Holstebro</t>
  </si>
  <si>
    <t>19433285</t>
  </si>
  <si>
    <t>1996-08-01</t>
  </si>
  <si>
    <t>TØMRER- OG SNEDKERFIRMAET CARSTEN KNUDSEN A/S</t>
  </si>
  <si>
    <t>Industrivej 24 - 5750 Ringe</t>
  </si>
  <si>
    <t>5750</t>
  </si>
  <si>
    <t>Ringe</t>
  </si>
  <si>
    <t>62623876</t>
  </si>
  <si>
    <t>27330614</t>
  </si>
  <si>
    <t>2003-08-25</t>
  </si>
  <si>
    <t>TØMRER- OG SNEDKERFIRMAET PETER ELLEGAARD A/S</t>
  </si>
  <si>
    <t>Handelsvej 4 - Lindved - 5260 Odense S</t>
  </si>
  <si>
    <t>66151700</t>
  </si>
  <si>
    <t>13110239</t>
  </si>
  <si>
    <t>1989-05-01</t>
  </si>
  <si>
    <t>TØMRER- OG SNEDKERFIRMAET POUL MORTENSEN ApS</t>
  </si>
  <si>
    <t>Korinthvej 1 - 9220 Aalborg Øst</t>
  </si>
  <si>
    <t>98162812</t>
  </si>
  <si>
    <t>info@poul-mortensen.dk</t>
  </si>
  <si>
    <t>18867842</t>
  </si>
  <si>
    <t>1995-10-01</t>
  </si>
  <si>
    <t>TØMRER- OG SNEDKERMESTER BØRGE NIELSEN A/S</t>
  </si>
  <si>
    <t>Høgevej 8B - 3400 Hillerød</t>
  </si>
  <si>
    <t>48207777</t>
  </si>
  <si>
    <t>32086268</t>
  </si>
  <si>
    <t>2009-03-26</t>
  </si>
  <si>
    <t>TØMRER- OG SNEDKERMESTEREN TORBEN FRANDSEN ApS</t>
  </si>
  <si>
    <t>C/O Torben Frandsen, C/O Torben Frandsen - Humlevænget 70 - 7570 Vemb</t>
  </si>
  <si>
    <t>7570</t>
  </si>
  <si>
    <t>Vemb</t>
  </si>
  <si>
    <t>20264727</t>
  </si>
  <si>
    <t>post@mesterfrandsen.dk</t>
  </si>
  <si>
    <t>11561942</t>
  </si>
  <si>
    <t>1987-11-01</t>
  </si>
  <si>
    <t>TØMRER- OG SNEDKERVÆRKSTEDET. LØSNING A/S</t>
  </si>
  <si>
    <t>Odinsvej 19 - 8722 Hedensted</t>
  </si>
  <si>
    <t>75650397</t>
  </si>
  <si>
    <t>35477101</t>
  </si>
  <si>
    <t>2013-09-18</t>
  </si>
  <si>
    <t>TØMRERFIRMAET GERT FOGT A/S</t>
  </si>
  <si>
    <t>Pedersmindevej 15 - 5485 Skamby</t>
  </si>
  <si>
    <t>5485</t>
  </si>
  <si>
    <t>Skamby</t>
  </si>
  <si>
    <t>11446485</t>
  </si>
  <si>
    <t>1987-10-01</t>
  </si>
  <si>
    <t>TØMRERFIRMAET JENS CHRISTIANSEN ApS</t>
  </si>
  <si>
    <t>Teestrup Nedenvej 33 - 4690 Haslev</t>
  </si>
  <si>
    <t>56380541</t>
  </si>
  <si>
    <t>26796024</t>
  </si>
  <si>
    <t>2002-09-24</t>
  </si>
  <si>
    <t>TØMRERFIRMAET SMITH A/S</t>
  </si>
  <si>
    <t>Navervej 11 - 7430 Ikast</t>
  </si>
  <si>
    <t>faktura@smith-as.dk</t>
  </si>
  <si>
    <t>29223238</t>
  </si>
  <si>
    <t>2006-01-04</t>
  </si>
  <si>
    <t>TØMRERFIRMAET STRUER A/S</t>
  </si>
  <si>
    <t>Damgårdsvej 10 - 7600 Struer</t>
  </si>
  <si>
    <t>15329874</t>
  </si>
  <si>
    <t>1991-06-20</t>
  </si>
  <si>
    <t>TØMRERMESTER JIM JENSEN A/S</t>
  </si>
  <si>
    <t>Nyholms Alle 13 - 2610 Rødovre</t>
  </si>
  <si>
    <t>18936437</t>
  </si>
  <si>
    <t>1995-11-01</t>
  </si>
  <si>
    <t>TØMRERMESTER SVEND ERIK SØRENSEN A/S</t>
  </si>
  <si>
    <t>Tved Bygade 1 - 8420 Knebel</t>
  </si>
  <si>
    <t>8420</t>
  </si>
  <si>
    <t>Knebel</t>
  </si>
  <si>
    <t>86351852</t>
  </si>
  <si>
    <t>10106826</t>
  </si>
  <si>
    <t>2003-01-07</t>
  </si>
  <si>
    <t>TØMRERMESTRE H. BRUUN &amp; SØN A/S</t>
  </si>
  <si>
    <t>Ørstedsvej 42 - 6760 Ribe</t>
  </si>
  <si>
    <t>75421875</t>
  </si>
  <si>
    <t>38658042</t>
  </si>
  <si>
    <t>2017-05-16</t>
  </si>
  <si>
    <t>Vallensbæk Maskinsnedkeri A/S</t>
  </si>
  <si>
    <t>Engvej 20 - 2625 Vallensbæk</t>
  </si>
  <si>
    <t>2625</t>
  </si>
  <si>
    <t>Vallensbæk</t>
  </si>
  <si>
    <t>27253083</t>
  </si>
  <si>
    <t>VEGGER TØMRER- &amp; SNEDKERFORRETNING ApS</t>
  </si>
  <si>
    <t>Algade 11 - Vegger - 9240 Nibe</t>
  </si>
  <si>
    <t>98666019</t>
  </si>
  <si>
    <t>info@veggerts.dk</t>
  </si>
  <si>
    <t>33352247</t>
  </si>
  <si>
    <t>2010-11-23</t>
  </si>
  <si>
    <t>VESTERGAARD KONSTRUKTION A/S</t>
  </si>
  <si>
    <t>Romlundvej 51 - 8831 Løgstrup</t>
  </si>
  <si>
    <t>8831</t>
  </si>
  <si>
    <t>Løgstrup</t>
  </si>
  <si>
    <t>41319500</t>
  </si>
  <si>
    <t>sv@vkons.dk</t>
  </si>
  <si>
    <t>29626774</t>
  </si>
  <si>
    <t>2006-06-22</t>
  </si>
  <si>
    <t>VINTHER OG LASSEN A/S</t>
  </si>
  <si>
    <t>Ydervangen 9 - 8920 Randers NV</t>
  </si>
  <si>
    <t>86429711</t>
  </si>
  <si>
    <t>34719292</t>
  </si>
  <si>
    <t>2012-10-11</t>
  </si>
  <si>
    <t>VK TOTALSERVICE ApS</t>
  </si>
  <si>
    <t>C/O Vladimir Kirakosyan, C/O Vladimir Kirakosyan - Broenge 24 - 2635 Ishøj</t>
  </si>
  <si>
    <t>27514634</t>
  </si>
  <si>
    <t>ÆRØ MØBLER A/S</t>
  </si>
  <si>
    <t>C/O Ærøskøbing, C/O Ærøskøbing - Lerbækken 5 - 5970 Ærøskøbing</t>
  </si>
  <si>
    <t>5970</t>
  </si>
  <si>
    <t>Ærøskøbing</t>
  </si>
  <si>
    <t>62521099</t>
  </si>
  <si>
    <t>Entreprisevirksomhed inden for renovering, byggeri og totalentrepriser.</t>
  </si>
  <si>
    <t>Byggefirma med fokus på mindre byggeprojekter og håndværksopgaver.</t>
  </si>
  <si>
    <t>Byggefirma der udfører renovering, tilbygninger og nybyg.</t>
  </si>
  <si>
    <t>Entreprisevirksomhed med byggeprojekter for private og erhverv.</t>
  </si>
  <si>
    <t>Byggefirma der udfører entrepriser, reparation og vedligehold.</t>
  </si>
  <si>
    <t>Tømrer- og snedkerfirma med byggeopgaver, reparation og service.</t>
  </si>
  <si>
    <t>Udlejningsvirksomhed af boliger og mindre erhvervslokaler.</t>
  </si>
  <si>
    <t>Byggefirma med fokus på bæredygtige og grønne løsninger.</t>
  </si>
  <si>
    <t>Traditionelt bygge- og entreprenørfirma med lokale projekter.</t>
  </si>
  <si>
    <t>Tømrervirksomhed med renovering, service og montageopgaver.</t>
  </si>
  <si>
    <t>Serviceenhed inden for tømrer- og bygningsvedligehold.</t>
  </si>
  <si>
    <t>Byggefirma med renoveringsopgaver og mindre entrepriser.</t>
  </si>
  <si>
    <t>Byggefirma der udvikler og udfører entrepriser for kunder.</t>
  </si>
  <si>
    <t>Entreprisevirksomhed med renovering og byggeprojekter.</t>
  </si>
  <si>
    <t>Byggefirma specialiseret i nybyg, ombygning og renovering.</t>
  </si>
  <si>
    <t>Entreprisevirksomhed inden for byggeri og indretningsløsninger.</t>
  </si>
  <si>
    <t>Brolægningsvirksomhed med belægnings- og anlægsopgaver.</t>
  </si>
  <si>
    <t>Entreprisevirksomhed inden for fugning, træbyggeri og renoveringsopgaver.</t>
  </si>
  <si>
    <t>Maskinsnedkeri med specialproduktion i træ til byggeri og erhverv.</t>
  </si>
  <si>
    <t>Tømrer- og snedkerfirma med renovering og bygningsservice.</t>
  </si>
  <si>
    <t>Byggefirma med entrepriser i nybyg, ombygning og renovering.</t>
  </si>
  <si>
    <t>Entreprisevirksomhed med byggeprojekter, indretningsløsninger og renovering.</t>
  </si>
  <si>
    <t>Entreprisevirksomhed inden for byggeprojekter, service og bygningsdrift.</t>
  </si>
  <si>
    <t>Byggefirma med total- og hovedentrepriser i bolig- og erhverv.</t>
  </si>
  <si>
    <t>Tømrer- og snedkerfirma med service, renovering og montage.</t>
  </si>
  <si>
    <t>Tømrer- og snedkerfirma med mindre byggeopgaver og vedligehold.</t>
  </si>
  <si>
    <t>Tømrer- og snedkerforretning med traditionelt håndværk og renovering.</t>
  </si>
  <si>
    <t>Entreprisevirksomhed med konstruktion, renovering og bygningsservice.</t>
  </si>
  <si>
    <t>Byggefirma med renovering, tilbygning og nybyg i mindre skala.</t>
  </si>
  <si>
    <t>Entreprisevirksomhed med hovedentrepriser og byggerådgivning.</t>
  </si>
  <si>
    <t>Byggefirma med mindre entrepriser, service og renoveringsopgaver.</t>
  </si>
  <si>
    <t>Tømrer- og snedkerforretning med lokalt fokus og renovering.</t>
  </si>
  <si>
    <t>Tømrer- og snedkerforretning med service, montage og vedligehold.</t>
  </si>
  <si>
    <t>Entreprisevirksomhed med byggeprojekter, renovering og udvikling.</t>
  </si>
  <si>
    <t>Tømrerfirma med familieejede renoverings- og byggeopgaver.</t>
  </si>
  <si>
    <t>Tømrerfirma med lokale serviceopgaver og mindre entrepriser.</t>
  </si>
  <si>
    <t>Entreprisevirksomhed med byggeprojekter og bygningsvedligehold.</t>
  </si>
  <si>
    <t>Byggefirma med renovering, tilbygning og mindre entrepriser.</t>
  </si>
  <si>
    <t>Tømrer- og snedkerfirma med byggeopgaver og bygningsservice.</t>
  </si>
  <si>
    <t>Byggefirma med mindre entrepriser, renovering og bygningsservice.</t>
  </si>
  <si>
    <t>Maskinsnedkeri med specialproduktion og komponenter til byggeprojekter.</t>
  </si>
  <si>
    <t>Entreprisevirksomhed med byggeprojekter, renovering og konstruktion.</t>
  </si>
  <si>
    <t>Entreprisevirksomhed med fokus på større bygge- og renoveringsopgaver.</t>
  </si>
  <si>
    <t>Entreprenørvirksomhed med komplekse byggerier og totalentrepriser.</t>
  </si>
  <si>
    <t>Byggefirma med mindre byggeopgaver, montage og vedligehold.</t>
  </si>
  <si>
    <t>Tømrer- og snedkerfirma med service, renovering og nybyg.</t>
  </si>
  <si>
    <t>Tømrer- og snedkerfirma med lokale service- og byggeopgaver.</t>
  </si>
  <si>
    <t>Byggefirma med projekter i boligbyggeri og renovering.</t>
  </si>
  <si>
    <t>Entreprisevirksomhed med håndværksopgaver, renovering og ombygninger.</t>
  </si>
  <si>
    <t>Byggefirma med mindre entrepriser, reparation og lokal service.</t>
  </si>
  <si>
    <t>Entreprisevirksomhed med konstruktionsprojekter i byggeri og industri.</t>
  </si>
  <si>
    <t>Entreprisevirksomhed med byggeprojekter, renovering og drift.</t>
  </si>
  <si>
    <t>Byggefirma med håndværksopgaver, renovering og bygningsservice.</t>
  </si>
  <si>
    <t>Tømrerfirma med lokal service, montage og renoveringsopgaver.</t>
  </si>
  <si>
    <t>Entreprisevirksomhed med boligbyggeri, renovering og tilbygninger.</t>
  </si>
  <si>
    <t>Entreprisevirksomhed med konstruktion og bygningsrenovering.</t>
  </si>
  <si>
    <t>Konstruktions- og byggevirksomhed med specialiserede montageopgaver.</t>
  </si>
  <si>
    <t>Entreprisevirksomhed med byggeprojekter, konstruktion og projektstyring.</t>
  </si>
  <si>
    <t>Byggefirma med total- og hovedentrepriser for bolig og erhverv.</t>
  </si>
  <si>
    <t>Byggefirma med mindre entrepriser, renovering og tilbygninger.</t>
  </si>
  <si>
    <t>Byggefirma der opfører huse, boligbyggeri og mindre entrepriser.</t>
  </si>
  <si>
    <t>Entreprisevirksomhed med byggerier, renovering og projektstyring.</t>
  </si>
  <si>
    <t>Maskinsnedkeri med specialproduktion af komponenter til byggeri.</t>
  </si>
  <si>
    <t>Entreprisevirksomhed med konstruktion, renovering og totalentrepriser.</t>
  </si>
  <si>
    <t>Tømrer- og snedkerforretning med lokale renoveringsopgaver.</t>
  </si>
  <si>
    <t>Snedkeri med specialproduktion i træ til bolig og erhverv.</t>
  </si>
  <si>
    <t>Entreprisevirksomhed med byggeri, konstruktion og rådgivning.</t>
  </si>
  <si>
    <t>Entreprisevirksomhed med nybyg, renovering og totalentrepriser.</t>
  </si>
  <si>
    <t>Entreprisevirksomhed med byggeprojekter for erhverv og industri.</t>
  </si>
  <si>
    <t>Entreprisevirksomhed med boligbyggeri, renovering og hovedentrepriser.</t>
  </si>
  <si>
    <t>Entreprisevirksomhed med byggeprojekter, renovering og montage.</t>
  </si>
  <si>
    <t>Byggefirma med renovering, montage og lokal bygningsservice.</t>
  </si>
  <si>
    <t>Entreprisevirksomhed med konstruktion og entrepriser i byggebranchen.</t>
  </si>
  <si>
    <t>Tømrer- og snedkerforretning med lokale bygge- og serviceopgaver.</t>
  </si>
  <si>
    <t>Byggekoncern med totalentrepriser, renovering og facility services.</t>
  </si>
  <si>
    <t>Snedkeri med specialopgaver, produktion og træbearbejdning.</t>
  </si>
  <si>
    <t>Entreprisevirksomhed med boligbyggeri, erhvervsprojekter og renovering.</t>
  </si>
  <si>
    <t>Byggefirma med mindre entrepriser, ombygning og vedligehold.</t>
  </si>
  <si>
    <t>Tagsnedkeri med specialer i tagopgaver og renovering.</t>
  </si>
  <si>
    <t>Entreprisevirksomhed med konstruktion, renovering og byggeprojekter.</t>
  </si>
  <si>
    <t>Byggefirma med mindre entrepriser, service og bygningsvedligehold.</t>
  </si>
  <si>
    <t>Tømrerfirma med lokale serviceopgaver, reparation og vedligehold.</t>
  </si>
  <si>
    <t>Byggefirma med entrepriser i boligbyggeri og renoveringer.</t>
  </si>
  <si>
    <t>Entreprisevirksomhed med byggeprojekter, konstruktion og rådgivning.</t>
  </si>
  <si>
    <t>Entreprisevirksomhed med totalløsninger, renovering og byggeprojekter.</t>
  </si>
  <si>
    <t>Tømrer- og murerfirma med renovering, ombygning og vedligehold.</t>
  </si>
  <si>
    <t>Tømrer- og snedkerfirma med lokal renovering og byggeopgaver.</t>
  </si>
  <si>
    <t>Tømrer- og snedkerfirma med traditionelt håndværk og entrepriser.</t>
  </si>
  <si>
    <t>Tømrer- og snedkerfirma med mindre bygge- og serviceopgaver.</t>
  </si>
  <si>
    <t>Tømrermesterfirma med lokal renovering, ombygning og vedligehold.</t>
  </si>
  <si>
    <t>Tømrermesterfirma med mindre byggeopgaver og bygningsservice.</t>
  </si>
  <si>
    <t>Tømrer- og snedkerværksted med specialopgaver i træ.</t>
  </si>
  <si>
    <t>Tømrerfirma med lokale byggeprojekter og renoveringsopgaver.</t>
  </si>
  <si>
    <t>Tømrerfirma med mindre entrepriser, service og vedligehold.</t>
  </si>
  <si>
    <t>Tømrerfirma med byggeopgaver i bolig og erhverv.</t>
  </si>
  <si>
    <t>Tømrerfirma med lokale byggeopgaver og renovering.</t>
  </si>
  <si>
    <t>Tømrermesterfirma med håndværksopgaver og bygningsservice.</t>
  </si>
  <si>
    <t>Tømrermesterfirma med lokale renoverings- og vedligeholdelsesopgaver.</t>
  </si>
  <si>
    <t>Maskinsnedkeri med specialproduktion af komponenter til byggeriet.</t>
  </si>
  <si>
    <t>Tømrer- og snedkerforretning med service, montage og renovering.</t>
  </si>
  <si>
    <t>Konstruktionsvirksomhed med byggeprojekter i stål og industri.</t>
  </si>
  <si>
    <t>Entreprisevirksomhed med byggeprojekter, renovering og projektstyring.</t>
  </si>
  <si>
    <t>Bygge- og servicevirksomhed med mindre entrepriser og bygningsdrift.</t>
  </si>
  <si>
    <t>Møbelfabrik med design, produktion og specialløsninger i træ.</t>
  </si>
  <si>
    <t>39369842</t>
  </si>
  <si>
    <t>2018-02-15</t>
  </si>
  <si>
    <t>AG Gulve Entreprise ApS</t>
  </si>
  <si>
    <t>Tørringvej 20 - 2610 Rødovre</t>
  </si>
  <si>
    <t>433300 Udførelse af gulvbelægninger og vægbeklædning</t>
  </si>
  <si>
    <t>44925066</t>
  </si>
  <si>
    <t>25471172</t>
  </si>
  <si>
    <t>2000-06-22</t>
  </si>
  <si>
    <t>AG Gulve Erhverv A/S</t>
  </si>
  <si>
    <t>33370512</t>
  </si>
  <si>
    <t>2010-12-20</t>
  </si>
  <si>
    <t>AREO Coating A/S</t>
  </si>
  <si>
    <t>Ellerupvej 34 - 8883 Gjern</t>
  </si>
  <si>
    <t>8883</t>
  </si>
  <si>
    <t>Gjern</t>
  </si>
  <si>
    <t>70204038</t>
  </si>
  <si>
    <t>hjp@areo.dk</t>
  </si>
  <si>
    <t>30504178</t>
  </si>
  <si>
    <t>2007-04-19</t>
  </si>
  <si>
    <t>BJARMODAN A/S</t>
  </si>
  <si>
    <t>Højgaardsvej 10 - 8300 Odder</t>
  </si>
  <si>
    <t>86551489</t>
  </si>
  <si>
    <t>bjarmodan@bjarmodan.dk</t>
  </si>
  <si>
    <t>75294719</t>
  </si>
  <si>
    <t>1985-02-22</t>
  </si>
  <si>
    <t>BT GULVE OG GARDINER A/S</t>
  </si>
  <si>
    <t>Karetmagervej 23B - Snoghøj - 7000 Fredericia</t>
  </si>
  <si>
    <t>75929255</t>
  </si>
  <si>
    <t>29289611</t>
  </si>
  <si>
    <t>1969-09-29</t>
  </si>
  <si>
    <t>CHARLES CHRISTENSEN A/S</t>
  </si>
  <si>
    <t>Marielundvej 46D - 2730 Herlev</t>
  </si>
  <si>
    <t>43963500</t>
  </si>
  <si>
    <t>cc@ccgulve.dk</t>
  </si>
  <si>
    <t>12375107</t>
  </si>
  <si>
    <t>1988-08-01</t>
  </si>
  <si>
    <t>HAMMELSVANG A/S</t>
  </si>
  <si>
    <t>Bøgekildevej 26 - 8361 Hasselager</t>
  </si>
  <si>
    <t>8361</t>
  </si>
  <si>
    <t>Hasselager</t>
  </si>
  <si>
    <t>86281344</t>
  </si>
  <si>
    <t>34055866</t>
  </si>
  <si>
    <t>2011-11-21</t>
  </si>
  <si>
    <t>HEWIKUT A/S</t>
  </si>
  <si>
    <t>Jyllandsvej 45 - 7330 Brande</t>
  </si>
  <si>
    <t>7330</t>
  </si>
  <si>
    <t>Brande</t>
  </si>
  <si>
    <t>87535312</t>
  </si>
  <si>
    <t>1977-09-26</t>
  </si>
  <si>
    <t>LONDERO-MOSAIK A/S</t>
  </si>
  <si>
    <t>Valseholmen 9 - 2650 Hvidovre</t>
  </si>
  <si>
    <t>28703589</t>
  </si>
  <si>
    <t>2005-05-11</t>
  </si>
  <si>
    <t>NORDJYSK GULVCENTER A/S</t>
  </si>
  <si>
    <t>Fanøvej 1 - 9800 Hjørring</t>
  </si>
  <si>
    <t>30599829</t>
  </si>
  <si>
    <t>2007-05-30</t>
  </si>
  <si>
    <t>OK GULVE A/S</t>
  </si>
  <si>
    <t>Petersmindevej 19 - 5000 Odense C</t>
  </si>
  <si>
    <t>5000</t>
  </si>
  <si>
    <t>Odense C</t>
  </si>
  <si>
    <t>66159935</t>
  </si>
  <si>
    <t>okgulve@okgulve.dk</t>
  </si>
  <si>
    <t>33646186</t>
  </si>
  <si>
    <t>2011-05-11</t>
  </si>
  <si>
    <t>OWI GULVE ApS</t>
  </si>
  <si>
    <t>Priorsvej 21 - 8600 Silkeborg</t>
  </si>
  <si>
    <t>11171443</t>
  </si>
  <si>
    <t>1987-09-01</t>
  </si>
  <si>
    <t>SILKEBORG GULVBELÆGNING A/S</t>
  </si>
  <si>
    <t>Stagehøjvej 25 - 8600 Silkeborg</t>
  </si>
  <si>
    <t>po@garant.nu</t>
  </si>
  <si>
    <t>30561600</t>
  </si>
  <si>
    <t>2008-01-03</t>
  </si>
  <si>
    <t>WORSØE GULVE ApS</t>
  </si>
  <si>
    <t>Skævlundvej 3 - Stourup - 7130 Juelsminde</t>
  </si>
  <si>
    <t>7130</t>
  </si>
  <si>
    <t>Juelsminde</t>
  </si>
  <si>
    <t>40956741</t>
  </si>
  <si>
    <t>morten@gulvmand.com</t>
  </si>
  <si>
    <t>Gulventreprise­virksomhed med installation, renovering og belægningsopgaver.</t>
  </si>
  <si>
    <t>Gulvvirksomhed med erhvervsinstallationer, belægning og gulvservice.</t>
  </si>
  <si>
    <t>Coatingvirksomhed med industribelægninger, epoxy og overfladebehandling.</t>
  </si>
  <si>
    <t>Producent af gulv- og overfladeprodukter til byggeri og industri.</t>
  </si>
  <si>
    <t>Virksomhed med gulvlægning, gardinløsninger og indretningsopgaver.</t>
  </si>
  <si>
    <t>Håndværksvirksomhed med gulvlægning, indretning og bygningsservice.</t>
  </si>
  <si>
    <t>Gulvvirksomhed med installation, belægning og renovering af overflader.</t>
  </si>
  <si>
    <t>Virksomhed med specialbelægninger, overfladebehandling og industrigulve.</t>
  </si>
  <si>
    <t>Specialvirksomhed med mosaikarbejde, fliser og dekorative gulvløsninger.</t>
  </si>
  <si>
    <t>Gulvcenter med belægning, renovering og vedligeholdelsesopgaver.</t>
  </si>
  <si>
    <t>Gulvvirksomhed med installation, reparation og renovering af belægninger.</t>
  </si>
  <si>
    <t>Gulvlæggerfirma med installation, reparation og vedligehold.</t>
  </si>
  <si>
    <t>Gulvbelægningsvirksomhed med installation, service og renovering.</t>
  </si>
  <si>
    <t>Gulvlæggerfirma med mindre installationer, reparation og gulvservice.</t>
  </si>
  <si>
    <t>A.E. STÅLMONTAGE A/S</t>
  </si>
  <si>
    <t>Hagensvej 54 - 9530 Støvring</t>
  </si>
  <si>
    <t>434200 Andre specialiserede bygningsarbejder</t>
  </si>
  <si>
    <t>BMS A/S</t>
  </si>
  <si>
    <t>Sofiendalsvej 94 - 9200 Aalborg SV</t>
  </si>
  <si>
    <t>Climate ApS</t>
  </si>
  <si>
    <t>Holmegårdsvej 33 - 2920 Charlottenlund</t>
  </si>
  <si>
    <t>ENTREPRENØRFIRMAET SEJER PEDERSEN A/S</t>
  </si>
  <si>
    <t>Røddinglundvej 8 - 7480 Vildbjerg</t>
  </si>
  <si>
    <t>ICOP DENMARK ApS</t>
  </si>
  <si>
    <t>C/O The Italian Chamber of Commerce in Denma, C/O The Italian Chamber of Commerce in Denma - H.C. Andersens Boulevard 37 - 4. th - 1553 København V</t>
  </si>
  <si>
    <t>accounting@icopdenmark.dk</t>
  </si>
  <si>
    <t>JHH Entreprenør ApS</t>
  </si>
  <si>
    <t>Symbiosen 9A - 1. - 4683 Rønnede</t>
  </si>
  <si>
    <t>Rønnede</t>
  </si>
  <si>
    <t>jens.Hansen@j-hh.dk</t>
  </si>
  <si>
    <t>TOFT HANSEN ApS</t>
  </si>
  <si>
    <t>Kildeager 7 - Snoldelev - 4621 Gadstrup</t>
  </si>
  <si>
    <t>TORBEN CLAUSEN A/S</t>
  </si>
  <si>
    <t>Oksbølvej 14 - 6100 Haderslev</t>
  </si>
  <si>
    <t>83051817</t>
  </si>
  <si>
    <t>1977-12-12</t>
  </si>
  <si>
    <t>58145912</t>
  </si>
  <si>
    <t>1953-09-03</t>
  </si>
  <si>
    <t>39440687</t>
  </si>
  <si>
    <t>2018-03-26</t>
  </si>
  <si>
    <t>28326475</t>
  </si>
  <si>
    <t>2005-01-17</t>
  </si>
  <si>
    <t>34714991</t>
  </si>
  <si>
    <t>2012-10-01</t>
  </si>
  <si>
    <t>1553</t>
  </si>
  <si>
    <t>27222133</t>
  </si>
  <si>
    <t>34088721</t>
  </si>
  <si>
    <t>2011-12-22</t>
  </si>
  <si>
    <t>4683</t>
  </si>
  <si>
    <t>55769137</t>
  </si>
  <si>
    <t>26855802</t>
  </si>
  <si>
    <t>2002-10-31</t>
  </si>
  <si>
    <t>26977179</t>
  </si>
  <si>
    <t>14163581</t>
  </si>
  <si>
    <t>1990-05-25</t>
  </si>
  <si>
    <t>74524723</t>
  </si>
  <si>
    <t>31477859</t>
  </si>
  <si>
    <t>2008-06-02</t>
  </si>
  <si>
    <t>GROUNDPLUG INTERNATIONAL ApS</t>
  </si>
  <si>
    <t>Krakasvej 17 - 3400 Hillerød</t>
  </si>
  <si>
    <t>435000 Specialiserede anlægsaktiviteter</t>
  </si>
  <si>
    <t>70281030</t>
  </si>
  <si>
    <t>gp@groundplug.com</t>
  </si>
  <si>
    <t>32335942</t>
  </si>
  <si>
    <t>2014-02-20</t>
  </si>
  <si>
    <t>MG LABOUR SERVICE ApS</t>
  </si>
  <si>
    <t>Gødstrup Bygade 7 - 4684 Holmegaard</t>
  </si>
  <si>
    <t>4684</t>
  </si>
  <si>
    <t>Holmegaard</t>
  </si>
  <si>
    <t>41834373</t>
  </si>
  <si>
    <t>mgl@mglabour.com</t>
  </si>
  <si>
    <t>31586097</t>
  </si>
  <si>
    <t>P.I.T. HEGN A/S</t>
  </si>
  <si>
    <t>Kielbergvej 8 - 5750 Ringe</t>
  </si>
  <si>
    <t>bo@pithegn.dk</t>
  </si>
  <si>
    <t>29390428</t>
  </si>
  <si>
    <t>2006-02-14</t>
  </si>
  <si>
    <t>SKILTE-EXPRESSEN ApS</t>
  </si>
  <si>
    <t>Hagensvej 1 - 9530 Støvring</t>
  </si>
  <si>
    <t>96369636</t>
  </si>
  <si>
    <t>info@vejskilt.dk</t>
  </si>
  <si>
    <t>32074154</t>
  </si>
  <si>
    <t>2009-03-09</t>
  </si>
  <si>
    <t>SYSTEMAFSPÆRRING ApS</t>
  </si>
  <si>
    <t>Banesvinget 2 - 9530 Støvring</t>
  </si>
  <si>
    <t>70262244</t>
  </si>
  <si>
    <t>jd@systemafspaerring.dk</t>
  </si>
  <si>
    <t>Stålmontagevirksomhed med konstruktioner til byggeri og industri.</t>
  </si>
  <si>
    <t>Lifte- og kranservicevirksomhed med udlejning og teknisk support.</t>
  </si>
  <si>
    <t>Virksomhed med klimastyring, indeklima og ventilationsløsninger.</t>
  </si>
  <si>
    <t>Entreprenørfirma med jord-, kloak- og anlægsarbejder i byggeprojekter.</t>
  </si>
  <si>
    <t>Specialvirksomhed inden for isolering, coating og overfladebeskyttelse.</t>
  </si>
  <si>
    <t>Entreprenørfirma med nedrivning, gravearbejde og byggeservice.</t>
  </si>
  <si>
    <t>Virksomhed med mindre entrepriser, renovering og bygningsservice.</t>
  </si>
  <si>
    <t>Entreprenørvirksomhed med konstruktion, projektstyring og renovering.</t>
  </si>
  <si>
    <t>Virksomhed der producerer jordforankringssystemer til bygge- og anlægsprojekter.</t>
  </si>
  <si>
    <t>Arbejdskraftleverandør med bemanding til bygge- og industriprojekter.</t>
  </si>
  <si>
    <t>Virksomhed der leverer hegn, afspærring og sikringsløsninger til byggepladser.</t>
  </si>
  <si>
    <t>Skiltevirksomhed med produktion, montering og grafiske løsninger.</t>
  </si>
  <si>
    <t>Virksomhed med afspærringsudstyr, sikkerhedsmateriel og adgangskontrol til byggepladser.</t>
  </si>
  <si>
    <t>31771986</t>
  </si>
  <si>
    <t>2008-09-30</t>
  </si>
  <si>
    <t>A. VILLADSEN A/S</t>
  </si>
  <si>
    <t>Vestre Hedevej 28B - 4000 Roskilde</t>
  </si>
  <si>
    <t>439100 Murerarbejde</t>
  </si>
  <si>
    <t>46757026</t>
  </si>
  <si>
    <t>mail@avilladsen.dk</t>
  </si>
  <si>
    <t>35517944</t>
  </si>
  <si>
    <t>2013-10-21</t>
  </si>
  <si>
    <t>A/S P.J.P. MURER- OG ENTREPRENØRFORRETNING</t>
  </si>
  <si>
    <t>Numitvej 16 - 6960 Hvide Sande</t>
  </si>
  <si>
    <t>29842221</t>
  </si>
  <si>
    <t>2006-09-05</t>
  </si>
  <si>
    <t>ANDERS DAMGAARD NIELSEN ApS</t>
  </si>
  <si>
    <t>Vestergårdsvej 1 - Horreby - 4800 Nykøbing F</t>
  </si>
  <si>
    <t>20676559</t>
  </si>
  <si>
    <t>30509900</t>
  </si>
  <si>
    <t>2008-04-17</t>
  </si>
  <si>
    <t>BAGTERP MURERFORRETNING A/S</t>
  </si>
  <si>
    <t>Johs E Rasmussens V 9 - 9800 Hjørring</t>
  </si>
  <si>
    <t>98903433</t>
  </si>
  <si>
    <t>77307516</t>
  </si>
  <si>
    <t>1985-03-14</t>
  </si>
  <si>
    <t>BARSLUND &amp; GASSEHOLM ApS</t>
  </si>
  <si>
    <t>Bødkervej 12 - 7490 Aulum</t>
  </si>
  <si>
    <t>97472723</t>
  </si>
  <si>
    <t>27926193</t>
  </si>
  <si>
    <t>2004-07-01</t>
  </si>
  <si>
    <t>BJERREGAARD OG VIGEL PEDERSEN A/S</t>
  </si>
  <si>
    <t>Voerbjergvej 28 - 9400 Nørresundby</t>
  </si>
  <si>
    <t>27230970</t>
  </si>
  <si>
    <t>CH BYG A/S</t>
  </si>
  <si>
    <t>Bækgårdsvej 66 - 4140 Borup</t>
  </si>
  <si>
    <t>4140</t>
  </si>
  <si>
    <t>Borup</t>
  </si>
  <si>
    <t>57527338</t>
  </si>
  <si>
    <t>mail@chbyg.dk</t>
  </si>
  <si>
    <t>20758775</t>
  </si>
  <si>
    <t>DREIER &amp; CO., NYBORG A/S</t>
  </si>
  <si>
    <t>Langelandsvej 28 - 5800 Nyborg</t>
  </si>
  <si>
    <t>63316500</t>
  </si>
  <si>
    <t>76670528</t>
  </si>
  <si>
    <t>1984-12-28</t>
  </si>
  <si>
    <t>ERIK MØBERG A/S</t>
  </si>
  <si>
    <t>Østermarksvej 39 - 7250 Hejnsvig</t>
  </si>
  <si>
    <t>7250</t>
  </si>
  <si>
    <t>Hejnsvig</t>
  </si>
  <si>
    <t>75335900</t>
  </si>
  <si>
    <t>25298780</t>
  </si>
  <si>
    <t>2000-04-03</t>
  </si>
  <si>
    <t>FYNSK A/S</t>
  </si>
  <si>
    <t>Rugløkke 30 - Kirkeby - 6430 Nordborg</t>
  </si>
  <si>
    <t>74451751</t>
  </si>
  <si>
    <t>fynsk@fynsk.as</t>
  </si>
  <si>
    <t>14270078</t>
  </si>
  <si>
    <t>1990-05-31</t>
  </si>
  <si>
    <t>GUNNAR KLAUSEN A/S</t>
  </si>
  <si>
    <t>Industrivej 1 - Tødsø - 7900 Nykøbing M</t>
  </si>
  <si>
    <t>97720462</t>
  </si>
  <si>
    <t>27464556</t>
  </si>
  <si>
    <t>2003-12-03</t>
  </si>
  <si>
    <t>GØDVAD MURERFORRETNING ApS</t>
  </si>
  <si>
    <t>Poul Larsens Vej 7 - 8600 Silkeborg</t>
  </si>
  <si>
    <t>70273939</t>
  </si>
  <si>
    <t>40472533</t>
  </si>
  <si>
    <t>2019-04-25</t>
  </si>
  <si>
    <t>Hansen &amp; Graversen A/S</t>
  </si>
  <si>
    <t>18586908</t>
  </si>
  <si>
    <t>1995-06-07</t>
  </si>
  <si>
    <t>HUJ A/S</t>
  </si>
  <si>
    <t>Haslegårdsvænget 18 - 1. - Hasle - 8210 Aarhus V</t>
  </si>
  <si>
    <t>8210</t>
  </si>
  <si>
    <t>Aarhus V</t>
  </si>
  <si>
    <t>64105817</t>
  </si>
  <si>
    <t>1947-03-31</t>
  </si>
  <si>
    <t>JENS G. ANDERSEN A/S</t>
  </si>
  <si>
    <t>Pilehøj Vænge 3 - 3460 Birkerød</t>
  </si>
  <si>
    <t>45828209</t>
  </si>
  <si>
    <t>82588213</t>
  </si>
  <si>
    <t>1977-06-01</t>
  </si>
  <si>
    <t>KARL A. HANSEN ENTREPRISE A/S</t>
  </si>
  <si>
    <t>Industrikrogen 16 - 2635 Ishøj</t>
  </si>
  <si>
    <t>43521177</t>
  </si>
  <si>
    <t>kah@kah.dk</t>
  </si>
  <si>
    <t>26577144</t>
  </si>
  <si>
    <t>2002-04-15</t>
  </si>
  <si>
    <t>LARSEN &amp; EGELUND ApS</t>
  </si>
  <si>
    <t>Møllevej 15 - 4140 Borup</t>
  </si>
  <si>
    <t>40297475</t>
  </si>
  <si>
    <t>je@larsenogegelund.dk</t>
  </si>
  <si>
    <t>21306096</t>
  </si>
  <si>
    <t>1998-11-11</t>
  </si>
  <si>
    <t>MICHAEL GERTSENS MURERFIRMA ApS</t>
  </si>
  <si>
    <t>Søndergade 1 - 8881 Thorsø</t>
  </si>
  <si>
    <t>8881</t>
  </si>
  <si>
    <t>Thorsø</t>
  </si>
  <si>
    <t>20300777</t>
  </si>
  <si>
    <t>59931415</t>
  </si>
  <si>
    <t>MURER- &amp; BETONFIRMAET ERLING JØRGENSEN A/S</t>
  </si>
  <si>
    <t>Industrivænget 2 - 8783 Hornsyld</t>
  </si>
  <si>
    <t>75687744</t>
  </si>
  <si>
    <t>kontor@ej-as.dk</t>
  </si>
  <si>
    <t>28861869</t>
  </si>
  <si>
    <t>2005-06-29</t>
  </si>
  <si>
    <t>MURER- OG ENTREPRENØRFIRMAET OLE JOHANSEN A/S</t>
  </si>
  <si>
    <t>Vølund Nielsens Vej 16 - 9990 Skagen</t>
  </si>
  <si>
    <t>9990</t>
  </si>
  <si>
    <t>Skagen</t>
  </si>
  <si>
    <t>98450563</t>
  </si>
  <si>
    <t>26538106</t>
  </si>
  <si>
    <t>2002-04-01</t>
  </si>
  <si>
    <t>MURERFIRMA PETER JUUL ApS</t>
  </si>
  <si>
    <t>Løkkenvej 216 - 9700 Brønderslev</t>
  </si>
  <si>
    <t>9700</t>
  </si>
  <si>
    <t>Brønderslev</t>
  </si>
  <si>
    <t>19943283</t>
  </si>
  <si>
    <t>MURERFIRMAET KUSK &amp; THOMSEN ApS</t>
  </si>
  <si>
    <t>Rougsøvej 55A - 8950 Ørsted</t>
  </si>
  <si>
    <t>86488971</t>
  </si>
  <si>
    <t>kt@kuskthomsen.dk</t>
  </si>
  <si>
    <t>50494810</t>
  </si>
  <si>
    <t>1975-06-26</t>
  </si>
  <si>
    <t>MURERMESTER ERIK ANDERSEN AF GILLELEJE ApS</t>
  </si>
  <si>
    <t>Stæremosen 28 - 3250 Gilleleje</t>
  </si>
  <si>
    <t>3250</t>
  </si>
  <si>
    <t>Gilleleje</t>
  </si>
  <si>
    <t>48300381</t>
  </si>
  <si>
    <t>17541307</t>
  </si>
  <si>
    <t>1994-01-24</t>
  </si>
  <si>
    <t>MURERMESTER J. OLE PEDERSEN A/S</t>
  </si>
  <si>
    <t>Hejreskovvej 14 - Munkegårde - 3490 Kvistgård</t>
  </si>
  <si>
    <t>3490</t>
  </si>
  <si>
    <t>Kvistgård</t>
  </si>
  <si>
    <t>45160616</t>
  </si>
  <si>
    <t>31406218</t>
  </si>
  <si>
    <t>1999-10-16</t>
  </si>
  <si>
    <t>MURERSVENDENES AKTIESELSKAB</t>
  </si>
  <si>
    <t>Ejby Industrivej 80 - Postboks 1419 - 2600 Glostrup</t>
  </si>
  <si>
    <t>43432000</t>
  </si>
  <si>
    <t>35211187</t>
  </si>
  <si>
    <t>2013-04-05</t>
  </si>
  <si>
    <t>MØRK &amp; SKOV ApS</t>
  </si>
  <si>
    <t>Holkebjergvej 58 - Højme - 5250 Odense SV</t>
  </si>
  <si>
    <t>5250</t>
  </si>
  <si>
    <t>Odense SV</t>
  </si>
  <si>
    <t>66170855</t>
  </si>
  <si>
    <t>msh@msh.dk</t>
  </si>
  <si>
    <t>73375010</t>
  </si>
  <si>
    <t>1983-11-01</t>
  </si>
  <si>
    <t>MØRKØV MURERFORRETNING ApS</t>
  </si>
  <si>
    <t>Nyvej 16 - 4440 Mørkøv</t>
  </si>
  <si>
    <t>4440</t>
  </si>
  <si>
    <t>Mørkøv</t>
  </si>
  <si>
    <t>25806387</t>
  </si>
  <si>
    <t>NIBE ENTREPRENØR &amp; TRANSPORT A/S</t>
  </si>
  <si>
    <t>Skalhuse 9 - Gelstrup - 9240 Nibe</t>
  </si>
  <si>
    <t>34220492</t>
  </si>
  <si>
    <t>OPN ENTREPRISE A/S</t>
  </si>
  <si>
    <t>Baldersbækvej 30 - 2635 Ishøj</t>
  </si>
  <si>
    <t>55915113</t>
  </si>
  <si>
    <t>1976-03-24</t>
  </si>
  <si>
    <t>SHS BYG A/S</t>
  </si>
  <si>
    <t>Gudumbro 4 - Gudum - 7620 Lemvig</t>
  </si>
  <si>
    <t>97863088</t>
  </si>
  <si>
    <t>30244818</t>
  </si>
  <si>
    <t>2007-02-06</t>
  </si>
  <si>
    <t>SIMON SKOV ApS</t>
  </si>
  <si>
    <t>Ranunkelvej 44 - 8722 Hedensted</t>
  </si>
  <si>
    <t>25568180</t>
  </si>
  <si>
    <t>Signe@simonskov.dk</t>
  </si>
  <si>
    <t>36934026</t>
  </si>
  <si>
    <t>2015-06-19</t>
  </si>
  <si>
    <t>Aage Pedersen &amp; Søn ApS</t>
  </si>
  <si>
    <t>Kystvej 30 - 5800 Nyborg</t>
  </si>
  <si>
    <t>Entreprise- og byggefirma med projekter i bolig og erhverv.</t>
  </si>
  <si>
    <t>Murer- og entreprenørfirma med renovering, nybyg og betonarbejde.</t>
  </si>
  <si>
    <t>Entreprisevirksomhed med mindre bygge-, renoverings- og mureropgaver.</t>
  </si>
  <si>
    <t>Murerforretning med facadearbejde, renovering og reparationer.</t>
  </si>
  <si>
    <t>Murerfirma med renovering, flisearbejde og facadeløsninger.</t>
  </si>
  <si>
    <t>Entreprisevirksomhed med murerarbejde, renovering og betonprojekter.</t>
  </si>
  <si>
    <t>Byggefirma med mindre entrepriser, tilbygninger og renovering.</t>
  </si>
  <si>
    <t>Entreprenørfirma med byggeprojekter, renovering og specialopgaver.</t>
  </si>
  <si>
    <t>Entreprisevirksomhed med konstruktion, renovering og indretningsopgaver.</t>
  </si>
  <si>
    <t>Bygge- og entreprenørvirksomhed med konstruktion og montage.</t>
  </si>
  <si>
    <t>Entreprisevirksomhed med byggerier, renovering og betonkonstruktioner.</t>
  </si>
  <si>
    <t>Murerforretning med reparation, fliser, facader og mindre entrepriser.</t>
  </si>
  <si>
    <t>Byggefirma med entrepriser i bolig og erhverv.</t>
  </si>
  <si>
    <t>Entreprisevirksomhed med murer-, beton- og konstruktionsopgaver.</t>
  </si>
  <si>
    <t>Byggevirksomhed med mindre entrepriser, renovering og reparation.</t>
  </si>
  <si>
    <t>Entreprisevirksomhed med hoved- og totalentrepriser i byggeri.</t>
  </si>
  <si>
    <t>Entreprisevirksomhed med konstruktion, murerarbejde og renovering.</t>
  </si>
  <si>
    <t>Murerfirma med renovering, facader, fliser og betonarbejde.</t>
  </si>
  <si>
    <t>Murer- og betonfirma med facader, støbninger og renovering.</t>
  </si>
  <si>
    <t>Murer- og entreprenørfirma med kloak, fundament og murerarbejde.</t>
  </si>
  <si>
    <t>Murerfirma med fliser, badeværelser, facader og renovering.</t>
  </si>
  <si>
    <t>Murerfirma med traditionelt håndværk og bygningsservice.</t>
  </si>
  <si>
    <t>Murerfirma med facader, renovering og mindre entrepriser.</t>
  </si>
  <si>
    <t>Murerfirma med traditionelle håndværksopgaver og bygningsservice.</t>
  </si>
  <si>
    <t>Aktieselskab med murerarbejde, renovering og bygningsservice.</t>
  </si>
  <si>
    <t>Byggefirma med mindre entrepriser og renoveringsopgaver.</t>
  </si>
  <si>
    <t>Murerforretning med facader, reparation og bygningsvedligehold.</t>
  </si>
  <si>
    <t>Entreprenør- og transportvirksomhed med bygge- og anlægsopgaver.</t>
  </si>
  <si>
    <t>Entreprisevirksomhed med projekter i byggeri, renovering og montage.</t>
  </si>
  <si>
    <t>Byggefirma med renovering, nybyg og mindre entrepriser.</t>
  </si>
  <si>
    <t>Entreprisevirksomhed med mindre bygge- og håndværksopgaver.</t>
  </si>
  <si>
    <t>Byggefirma med traditionelle renoverings- og vedligeholdelsesopgaver.</t>
  </si>
  <si>
    <t>21637076</t>
  </si>
  <si>
    <t>1999-04-26</t>
  </si>
  <si>
    <t>ABC PAVILLONER A/S</t>
  </si>
  <si>
    <t>Fundervej 44 - 7442 Engesvang</t>
  </si>
  <si>
    <t>7442</t>
  </si>
  <si>
    <t>Engesvang</t>
  </si>
  <si>
    <t>439900 Andre specialiserede byggeaktiviteter i.a.n.</t>
  </si>
  <si>
    <t>86812630</t>
  </si>
  <si>
    <t>32763855</t>
  </si>
  <si>
    <t>2010-02-01</t>
  </si>
  <si>
    <t>AKTIV BROLÆGNING MOSBJERG ApS</t>
  </si>
  <si>
    <t>Jerupvej 459 - Mosbjerg - 9870 Sindal</t>
  </si>
  <si>
    <t>9870</t>
  </si>
  <si>
    <t>Sindal</t>
  </si>
  <si>
    <t>98930127</t>
  </si>
  <si>
    <t>aktiv.brolaegning@mail.tele.dk</t>
  </si>
  <si>
    <t>27978355</t>
  </si>
  <si>
    <t>2004-07-27</t>
  </si>
  <si>
    <t>BERA STILLADSER A/S</t>
  </si>
  <si>
    <t>Håndværkervej 30 - 9000 Aalborg</t>
  </si>
  <si>
    <t>9000</t>
  </si>
  <si>
    <t>Aalborg</t>
  </si>
  <si>
    <t>27269745</t>
  </si>
  <si>
    <t>2003-06-20</t>
  </si>
  <si>
    <t>BHC A/S</t>
  </si>
  <si>
    <t>Foldager 5 - 6400 Sønderborg</t>
  </si>
  <si>
    <t>6400</t>
  </si>
  <si>
    <t>Sønderborg</t>
  </si>
  <si>
    <t>33499639</t>
  </si>
  <si>
    <t>2011-02-16</t>
  </si>
  <si>
    <t>BMS HEAVY CRANES A/S</t>
  </si>
  <si>
    <t>Troldholm 8 - 9400 Nørresundby</t>
  </si>
  <si>
    <t>14367942</t>
  </si>
  <si>
    <t>1990-06-20</t>
  </si>
  <si>
    <t>BRANDT DIAMANT A/S</t>
  </si>
  <si>
    <t>Guldalderen 40 - 2640 Hedehusene</t>
  </si>
  <si>
    <t>70263360</t>
  </si>
  <si>
    <t>post@brandtdiamant.dk</t>
  </si>
  <si>
    <t>36488220</t>
  </si>
  <si>
    <t>2015-01-08</t>
  </si>
  <si>
    <t>CPK GRUPPEN A/S</t>
  </si>
  <si>
    <t>Industrivej 61 - 4683 Rønnede</t>
  </si>
  <si>
    <t>72144646</t>
  </si>
  <si>
    <t>info@cpkgruppen.dk</t>
  </si>
  <si>
    <t>10477530</t>
  </si>
  <si>
    <t>1986-11-20</t>
  </si>
  <si>
    <t>DANSK STILLADS SERVICE A/S</t>
  </si>
  <si>
    <t>Hammerholmen 38 - 42 - 2650 Hvidovre</t>
  </si>
  <si>
    <t>36771711</t>
  </si>
  <si>
    <t>dss@danskstillads.dk</t>
  </si>
  <si>
    <t>70681811</t>
  </si>
  <si>
    <t>1982-11-30</t>
  </si>
  <si>
    <t>DBI-BYG A/S</t>
  </si>
  <si>
    <t>Ole Rømers Vej 1A - 3000 Helsingør</t>
  </si>
  <si>
    <t>mo@jobobilcenter.dk</t>
  </si>
  <si>
    <t>38304771</t>
  </si>
  <si>
    <t>2017-01-02</t>
  </si>
  <si>
    <t>Elmsgaard Entreprise ApS</t>
  </si>
  <si>
    <t>Eriksmindevej 30 - Bjerager - 8300 Odder</t>
  </si>
  <si>
    <t>50498816</t>
  </si>
  <si>
    <t>1981-04-13</t>
  </si>
  <si>
    <t>FYENS STILLADS CO. A/S</t>
  </si>
  <si>
    <t>Tolderlundsvej 36 - 5000 Odense C</t>
  </si>
  <si>
    <t>40367018</t>
  </si>
  <si>
    <t>14084800</t>
  </si>
  <si>
    <t>1990-04-27</t>
  </si>
  <si>
    <t>HJØRRING STILLADSUDLEJNING A/S</t>
  </si>
  <si>
    <t>Ålborgvej 462 - 9800 Hjørring</t>
  </si>
  <si>
    <t>98986088</t>
  </si>
  <si>
    <t>73492114</t>
  </si>
  <si>
    <t>HSHANSEN A/S</t>
  </si>
  <si>
    <t>Randersvej 2B - 2. - 8600 Silkeborg</t>
  </si>
  <si>
    <t>96751101</t>
  </si>
  <si>
    <t>29325391</t>
  </si>
  <si>
    <t>2006-02-03</t>
  </si>
  <si>
    <t>HULMOSE STILLADSER A/S</t>
  </si>
  <si>
    <t>Høgevej 6 - 6705 Esbjerg Ø</t>
  </si>
  <si>
    <t>6705</t>
  </si>
  <si>
    <t>Esbjerg Ø</t>
  </si>
  <si>
    <t>26060109</t>
  </si>
  <si>
    <t>2001-06-01</t>
  </si>
  <si>
    <t>JERSLEV STILLADSSERVICE A/S</t>
  </si>
  <si>
    <t>Industrivej 5A - Ubby - 4490 Jerslev Sjælland</t>
  </si>
  <si>
    <t>26060400</t>
  </si>
  <si>
    <t>2001-05-31</t>
  </si>
  <si>
    <t>JOTAX ApS</t>
  </si>
  <si>
    <t>Nybøl Alle 23 - 2770 Kastrup</t>
  </si>
  <si>
    <t>helle@jotax-aps.dk</t>
  </si>
  <si>
    <t>30565061</t>
  </si>
  <si>
    <t>2007-04-20</t>
  </si>
  <si>
    <t>KAJ ANDERSEN &amp; SØNNER ApS</t>
  </si>
  <si>
    <t>C/O Kaj Erik Andersen, C/O Kaj Erik Andersen - Fulbyvej 5 - 4180 Sorø</t>
  </si>
  <si>
    <t>20126803</t>
  </si>
  <si>
    <t>67382110</t>
  </si>
  <si>
    <t>1981-10-16</t>
  </si>
  <si>
    <t>KIBO SIKRING A/S</t>
  </si>
  <si>
    <t>Energivej 1 - 6933 Kibæk</t>
  </si>
  <si>
    <t>6933</t>
  </si>
  <si>
    <t>Kibæk</t>
  </si>
  <si>
    <t>70107077</t>
  </si>
  <si>
    <t>kibo@kibo-system.dk</t>
  </si>
  <si>
    <t>13591601</t>
  </si>
  <si>
    <t>1989-10-16</t>
  </si>
  <si>
    <t>LM HUSE A/S</t>
  </si>
  <si>
    <t>Snedkervej 13 - 6710 Esbjerg V</t>
  </si>
  <si>
    <t>75151522</t>
  </si>
  <si>
    <t>36461896</t>
  </si>
  <si>
    <t>2014-10-29</t>
  </si>
  <si>
    <t>M.H. ENTREPRISE P/S</t>
  </si>
  <si>
    <t>Bratbjergvej 37 - 9500 Hobro</t>
  </si>
  <si>
    <t>37270784</t>
  </si>
  <si>
    <t>2015-12-01</t>
  </si>
  <si>
    <t>Mace Technology Denmark ApS</t>
  </si>
  <si>
    <t>C/O CSC (DENMARK) ApS, C/O CSC (DENMARK) ApS - Sundkrogsgade 21 - 2100 København Ø</t>
  </si>
  <si>
    <t>47251613</t>
  </si>
  <si>
    <t>1974-01-10</t>
  </si>
  <si>
    <t>MEJDAL ENTREPRENØRFORRETNING ApS</t>
  </si>
  <si>
    <t>Nybodalen 12 - 7500 Holstebro</t>
  </si>
  <si>
    <t>97428500</t>
  </si>
  <si>
    <t>info@mejdalent.dk</t>
  </si>
  <si>
    <t>32836194</t>
  </si>
  <si>
    <t>2010-04-07</t>
  </si>
  <si>
    <t>R &amp; A ENTREPRISE A/S</t>
  </si>
  <si>
    <t>Nebsmøllevej 70 - Høed - 4100 Ringsted</t>
  </si>
  <si>
    <t>51568010</t>
  </si>
  <si>
    <t>mr@raentreprise.dk</t>
  </si>
  <si>
    <t>33583990</t>
  </si>
  <si>
    <t>2011-03-28</t>
  </si>
  <si>
    <t>SØNDERUP MONTAGE ApS</t>
  </si>
  <si>
    <t>Over Silstrupvej 2 - 6933 Kibæk</t>
  </si>
  <si>
    <t>33163436</t>
  </si>
  <si>
    <t>2010-09-17</t>
  </si>
  <si>
    <t>TOTAL DIAMANTEN ApS</t>
  </si>
  <si>
    <t>38743678</t>
  </si>
  <si>
    <t>2017-06-23</t>
  </si>
  <si>
    <t>Warburg VVS &amp; Kloak ekspres ApS</t>
  </si>
  <si>
    <t>Brøndbytoften 3 - 2605 Brøndby</t>
  </si>
  <si>
    <t>35818650</t>
  </si>
  <si>
    <t>2014-04-01</t>
  </si>
  <si>
    <t>Würtz Gruppen A/S</t>
  </si>
  <si>
    <t>Industrivej 57 - 4683 Rønnede</t>
  </si>
  <si>
    <t>20716399</t>
  </si>
  <si>
    <t>mail@wurtz.as</t>
  </si>
  <si>
    <t>Brolægningsvirksomhed med belægningsarbejde, fliser og anlægsopgaver.</t>
  </si>
  <si>
    <t>Specialvirksomhed i diamantboring, skæring og betonbearbejdning.</t>
  </si>
  <si>
    <t>Virksomhed specialiseret i facadeelementer, glas og bygningsbeklædning.</t>
  </si>
  <si>
    <t>Entreprisevirksomhed med nedrivning, sanering og renoveringsopgaver.</t>
  </si>
  <si>
    <t>Husbygger med opførelse af præfabrikerede boliger og byggeløsninger.</t>
  </si>
  <si>
    <t>Entreprisevirksomhed med byggeprojekter, drift og tekniske løsninger.</t>
  </si>
  <si>
    <t>VVS- og kloakservice med akutte reparationer og driftsopgaver.</t>
  </si>
  <si>
    <t>Entreprise- og servicekoncern med byggeprojekter og tekniske løsninger.</t>
  </si>
  <si>
    <t>Pavillonleverandør med modulbyggeri, midlertidige lokaler og byggepladsløsninger.</t>
  </si>
  <si>
    <t>Stilladsfirma med udlejning, montage og sikker opbygning på byggepladser.</t>
  </si>
  <si>
    <t>Entreprisevirksomhed med byggeprojekter, renovering og konstruktionsopgaver.</t>
  </si>
  <si>
    <t>Kranvirksomhed med tunge løft, logistik og projekthåndtering i industri.</t>
  </si>
  <si>
    <t>Koncern med entrepriseløsninger, rådgivning og teknisk byggeservice.</t>
  </si>
  <si>
    <t>Stilladsservice med udlejning, montage og sikkerhedsopbygning i byggeri.</t>
  </si>
  <si>
    <t>Byggefirma med entrepriser, montage og renovering i bolig og erhverv.</t>
  </si>
  <si>
    <t>Entreprisevirksomhed med renovering, montage og mindre byggeprojekter.</t>
  </si>
  <si>
    <t>Stilladsfirma med montage, udlejning og projektstøtte til byggeriet.</t>
  </si>
  <si>
    <t>Stilladsudlejer med opbygning, sikkerhed og byggepladslogistik.</t>
  </si>
  <si>
    <t>Stilladsfirma med udlejning, montage og sikkerhedsopbygninger.</t>
  </si>
  <si>
    <t>Stilladsservice med udlejning, montage og sikkerhedsopbygning til byggeprojekter.</t>
  </si>
  <si>
    <t>Entreprisevirksomhed med tømrer-, beton- og byggeopgaver i lokalområdet.</t>
  </si>
  <si>
    <t>Sikringsvirksomhed med hegn, adgangskontrol, overvågning og sikkerhedsløsninger.</t>
  </si>
  <si>
    <t>Teknologivirksomhed med projektstyring, installation og byggetekniske services.</t>
  </si>
  <si>
    <t>Entreprenørforretning med gravearbejde, anlægsopgaver og byggeservice.</t>
  </si>
  <si>
    <t>Entreprisevirksomhed med projekter inden for byggeri, montage og renovering.</t>
  </si>
  <si>
    <t>Montagevirksomhed med industrielle installations- og konstruktionsopgaver.</t>
  </si>
  <si>
    <t>Diamantboringsvirksomhed med betonboring, skæring og nedrivningsløsninger.</t>
  </si>
  <si>
    <t>25353870</t>
  </si>
  <si>
    <t>2000-05-09</t>
  </si>
  <si>
    <t>2-PLAN HUSET A/S</t>
  </si>
  <si>
    <t>Erritsø Bygade 44 - Erritsø - 7000 Fredericia</t>
  </si>
  <si>
    <t>681200 Gennemførelse af byggeprojekter</t>
  </si>
  <si>
    <t>75940522</t>
  </si>
  <si>
    <t>12141599</t>
  </si>
  <si>
    <t>1988-05-01</t>
  </si>
  <si>
    <t>Agat Management A/S</t>
  </si>
  <si>
    <t>Mølleå 1 - 2. 4 - 9000 Aalborg</t>
  </si>
  <si>
    <t>31623367</t>
  </si>
  <si>
    <t>2008-08-10</t>
  </si>
  <si>
    <t>ENTREPRENØRFIRMAET H. J. HUSE A/S</t>
  </si>
  <si>
    <t>Bildsøvej 106 - Kelstrup - 4200 Slagelse</t>
  </si>
  <si>
    <t>58549048</t>
  </si>
  <si>
    <t>coj@hjhuse.dk</t>
  </si>
  <si>
    <t>31347327</t>
  </si>
  <si>
    <t>2008-03-27</t>
  </si>
  <si>
    <t>KT ERHVERVSBYG A/S</t>
  </si>
  <si>
    <t>Ryttervangen 18 - Hjortsballe - 7323 Give</t>
  </si>
  <si>
    <t>7323</t>
  </si>
  <si>
    <t>Give</t>
  </si>
  <si>
    <t>39588706</t>
  </si>
  <si>
    <t>2018-05-18</t>
  </si>
  <si>
    <t>Køge Hospital Project Team I/S</t>
  </si>
  <si>
    <t>C/O c/o Itinera Denmark, filial af Itinera S, C/O c/o Itinera Denmark - filial af Itinera S - Industriparken 44A - 2750 Ballerup</t>
  </si>
  <si>
    <t>Interessentskab</t>
  </si>
  <si>
    <t>32225723</t>
  </si>
  <si>
    <t>admin@koegehpt.dk</t>
  </si>
  <si>
    <t>10116058</t>
  </si>
  <si>
    <t>2002-12-23</t>
  </si>
  <si>
    <t>Murer- og Entreprenørfirmaet Teddy H. Thomsen ApS</t>
  </si>
  <si>
    <t>Langgade 75 - 7321 Gadbjerg</t>
  </si>
  <si>
    <t>7321</t>
  </si>
  <si>
    <t>Gadbjerg</t>
  </si>
  <si>
    <t>75876214</t>
  </si>
  <si>
    <t>26708672</t>
  </si>
  <si>
    <t>2002-07-17</t>
  </si>
  <si>
    <t>NCC PROPERTY DEVELOPMENT A/S</t>
  </si>
  <si>
    <t>Tobaksvejen 2A - 2860 Søborg</t>
  </si>
  <si>
    <t>39302675</t>
  </si>
  <si>
    <t>2018-02-02</t>
  </si>
  <si>
    <t>Odense Hospital Project Team Joint Venture I/S</t>
  </si>
  <si>
    <t>C/O Coworking Plus, C/O Coworking Plus - Kochsgade 31C - 1. - 5000 Odense C</t>
  </si>
  <si>
    <t>31852765</t>
  </si>
  <si>
    <t>2008-11-19</t>
  </si>
  <si>
    <t>OldCo08 A/S</t>
  </si>
  <si>
    <t>39387166</t>
  </si>
  <si>
    <t>2018-02-26</t>
  </si>
  <si>
    <t>Storstroem Bridge Joint Venture I/S</t>
  </si>
  <si>
    <t>Hollandsvej 3 - 4760 Vordingborg</t>
  </si>
  <si>
    <t>4760</t>
  </si>
  <si>
    <t>Vordingborg</t>
  </si>
  <si>
    <t>Husbygger med fokus på arkitekttegnede boliger og byggerådgivning.</t>
  </si>
  <si>
    <t>Management- og rådgivningsvirksomhed med projektstyring i byggebranchen.</t>
  </si>
  <si>
    <t>Entreprenørfirma med murerarbejde, renovering og byggeprojekter.</t>
  </si>
  <si>
    <t>Entreprisevirksomhed med erhvervsbyggeri, nybyg og renoveringsprojekter.</t>
  </si>
  <si>
    <t>Projektkonsortium ansvarligt for hospitalsbyggeri og byggekoordination.</t>
  </si>
  <si>
    <t>Murer- og entreprenørfirma med renovering, facader og mindre projekter.</t>
  </si>
  <si>
    <t>Udviklingsvirksomhed med kommercielt byggeri, ejendomsprojekter og investering.</t>
  </si>
  <si>
    <t>Projektkonsortium med ansvar for hospitalsbyggeri og teknisk projektstyring.</t>
  </si>
  <si>
    <t>Projektkonsortium ansvarligt for brobyggeri, infrastruktur og anlægsprojekter.</t>
  </si>
  <si>
    <t>13590885</t>
  </si>
  <si>
    <t>1989-11-01</t>
  </si>
  <si>
    <t>AFRY Denmark A/S</t>
  </si>
  <si>
    <t>Lyskær 3F - 2730 Herlev</t>
  </si>
  <si>
    <t>711210 Rådgivende ingeniøraktiviteter inden for byggeri og anlægsarbejder</t>
  </si>
  <si>
    <t>10614694</t>
  </si>
  <si>
    <t>1987-01-01</t>
  </si>
  <si>
    <t>AKSEL V. JENSEN. RÅDGIVENDE INGENIØRFIRMA A/S</t>
  </si>
  <si>
    <t>Teglgården 1 - Gadevang - 3400 Hillerød</t>
  </si>
  <si>
    <t>48220300</t>
  </si>
  <si>
    <t>29515727</t>
  </si>
  <si>
    <t>2006-04-04</t>
  </si>
  <si>
    <t>Aktieselskabet af 04.04.2006</t>
  </si>
  <si>
    <t>Kongebakken 4 - 2765 Smørum</t>
  </si>
  <si>
    <t>35820402</t>
  </si>
  <si>
    <t>36943815</t>
  </si>
  <si>
    <t>2015-06-30</t>
  </si>
  <si>
    <t>Andreasen &amp; Hvidberg A/S</t>
  </si>
  <si>
    <t>Svenstrup Bane Alle 15 - 9230 Svenstrup J</t>
  </si>
  <si>
    <t>98143200</t>
  </si>
  <si>
    <t>post@aogh.dk</t>
  </si>
  <si>
    <t>36052503</t>
  </si>
  <si>
    <t>2014-07-21</t>
  </si>
  <si>
    <t>CONSTRUCTEL DENMARK ApS</t>
  </si>
  <si>
    <t>marcoamaro@constructel.dk</t>
  </si>
  <si>
    <t>83132612</t>
  </si>
  <si>
    <t>1978-01-25</t>
  </si>
  <si>
    <t>DANAKON A/S</t>
  </si>
  <si>
    <t>Sengeløsevej 4 - Sengeløse - 2630 Taastrup</t>
  </si>
  <si>
    <t>18411830</t>
  </si>
  <si>
    <t>DINES JØRGENSEN &amp; CO. A/S</t>
  </si>
  <si>
    <t>Kirsebæralle 9 - 3400 Hillerød</t>
  </si>
  <si>
    <t>48260666</t>
  </si>
  <si>
    <t>bogholderi@dj-co.dk</t>
  </si>
  <si>
    <t>33779402</t>
  </si>
  <si>
    <t>2011-07-01</t>
  </si>
  <si>
    <t>DJ MILJØ &amp; GEOTEKNIK P/S</t>
  </si>
  <si>
    <t>Falkevej 12 - 3400 Hillerød</t>
  </si>
  <si>
    <t>25940666</t>
  </si>
  <si>
    <t>bogholderi@dj-mg.dk</t>
  </si>
  <si>
    <t>12888678</t>
  </si>
  <si>
    <t>1989-01-13</t>
  </si>
  <si>
    <t>DOMINIA A/S. RÅDGIVENDE INGENIØRER</t>
  </si>
  <si>
    <t>Ved Vesterport 6 - 3. - 1612 København V</t>
  </si>
  <si>
    <t>1612</t>
  </si>
  <si>
    <t>33434500</t>
  </si>
  <si>
    <t>dominia@dominia.dk</t>
  </si>
  <si>
    <t>39179369</t>
  </si>
  <si>
    <t>2017-12-20</t>
  </si>
  <si>
    <t>Doosan Skoda Power, filial af Doosan Skoda Power a.s. Tjekkiet</t>
  </si>
  <si>
    <t>Filial af udenlandsk anpartsselskab eller selskab</t>
  </si>
  <si>
    <t>16950238</t>
  </si>
  <si>
    <t>1993-05-17</t>
  </si>
  <si>
    <t>DRIAS RÅDGIVENDE INGENIØRER A/S</t>
  </si>
  <si>
    <t>Logistikvej 3 - 7100 Vejle</t>
  </si>
  <si>
    <t>75801444</t>
  </si>
  <si>
    <t>83175419</t>
  </si>
  <si>
    <t>1978-05-01</t>
  </si>
  <si>
    <t>EKJ RÅDGIVENDE INGENIØRER A/S</t>
  </si>
  <si>
    <t>Blegdamsvej 58 - 2100 København Ø</t>
  </si>
  <si>
    <t>33111414</t>
  </si>
  <si>
    <t>info@ekj.dk</t>
  </si>
  <si>
    <t>28493584</t>
  </si>
  <si>
    <t>2005-01-01</t>
  </si>
  <si>
    <t>ERASMUS &amp; PARTNERE A/S</t>
  </si>
  <si>
    <t>Åstrupvej 10 - 9800 Hjørring</t>
  </si>
  <si>
    <t>98943811</t>
  </si>
  <si>
    <t>thomas@erasmus.dk</t>
  </si>
  <si>
    <t>19094308</t>
  </si>
  <si>
    <t>1995-12-28</t>
  </si>
  <si>
    <t>FLSmidth Cement A/S</t>
  </si>
  <si>
    <t>Vigerslev Allé 77 - 2500 Valby</t>
  </si>
  <si>
    <t>info@flsmidth.com</t>
  </si>
  <si>
    <t>28489676</t>
  </si>
  <si>
    <t>2005-01-19</t>
  </si>
  <si>
    <t>FRANDSEN &amp; SØNDERGAARD, RÅDGIVENDE INGENIØRFIRMA K/S</t>
  </si>
  <si>
    <t>Voergårdvej 8 - 9200 Aalborg SV</t>
  </si>
  <si>
    <t>Kommanditselskab</t>
  </si>
  <si>
    <t>35660585</t>
  </si>
  <si>
    <t>2013-12-24</t>
  </si>
  <si>
    <t>Fuldendt P/S</t>
  </si>
  <si>
    <t>Snedkervej 1 - 6800 Varde</t>
  </si>
  <si>
    <t>59781812</t>
  </si>
  <si>
    <t>GEO</t>
  </si>
  <si>
    <t>Maglebjergvej 1 - 2800 Kgs. Lyngby</t>
  </si>
  <si>
    <t>Erhvervsdrivende fond</t>
  </si>
  <si>
    <t>45884444</t>
  </si>
  <si>
    <t>geo@geo.dk</t>
  </si>
  <si>
    <t>19554899</t>
  </si>
  <si>
    <t>HENRY JENSEN A/S. RÅDGIVENDE INGENIØRER F.R.I.</t>
  </si>
  <si>
    <t>Østergade 44 - 5000 Odense C</t>
  </si>
  <si>
    <t>63124150</t>
  </si>
  <si>
    <t>info@henry-jensen.dk</t>
  </si>
  <si>
    <t>78015217</t>
  </si>
  <si>
    <t>1985-06-26</t>
  </si>
  <si>
    <t>INGENIØR'NE A/S</t>
  </si>
  <si>
    <t>Jernbanegade 1 - 6700 Esbjerg</t>
  </si>
  <si>
    <t>6700</t>
  </si>
  <si>
    <t>Esbjerg</t>
  </si>
  <si>
    <t>75180111</t>
  </si>
  <si>
    <t>post@ingenior-ne.dk</t>
  </si>
  <si>
    <t>26340713</t>
  </si>
  <si>
    <t>1967-03-10</t>
  </si>
  <si>
    <t>ISC RÅDGIVENDE INGENIØRER A/S</t>
  </si>
  <si>
    <t>Hesseløgade 16 - 2100 København Ø</t>
  </si>
  <si>
    <t>35278800</t>
  </si>
  <si>
    <t>27510531</t>
  </si>
  <si>
    <t>2004-03-30</t>
  </si>
  <si>
    <t>KPR Towers ApS</t>
  </si>
  <si>
    <t>Lyngsø Alle 3 - 2970 Hørsholm</t>
  </si>
  <si>
    <t>57446412</t>
  </si>
  <si>
    <t>1927-02-09</t>
  </si>
  <si>
    <t>KRÜGER A/S</t>
  </si>
  <si>
    <t>Gladsaxevej 363 - 2860 Søborg</t>
  </si>
  <si>
    <t>39690222</t>
  </si>
  <si>
    <t>28693036</t>
  </si>
  <si>
    <t>2005-04-28</t>
  </si>
  <si>
    <t>KUBEN MANAGEMENT A/S</t>
  </si>
  <si>
    <t>Ellebjergvej 52 - 2. - 2450 København SV</t>
  </si>
  <si>
    <t>2450</t>
  </si>
  <si>
    <t>København SV</t>
  </si>
  <si>
    <t>70114501</t>
  </si>
  <si>
    <t>info@kubenman.dk</t>
  </si>
  <si>
    <t>19302490</t>
  </si>
  <si>
    <t>1996-05-15</t>
  </si>
  <si>
    <t>LB-CONSULT - Norconsult A/S</t>
  </si>
  <si>
    <t>Stationsplads 4 - 8500 Grenaa</t>
  </si>
  <si>
    <t>8500</t>
  </si>
  <si>
    <t>Grenaa</t>
  </si>
  <si>
    <t>ao@lb-consult.dk</t>
  </si>
  <si>
    <t>79202819</t>
  </si>
  <si>
    <t>1985-10-10</t>
  </si>
  <si>
    <t>LIC ENGINEERING A/S</t>
  </si>
  <si>
    <t>Kirkegade 25 - 6700 Esbjerg</t>
  </si>
  <si>
    <t>75181688</t>
  </si>
  <si>
    <t>19015637</t>
  </si>
  <si>
    <t>1996-02-16</t>
  </si>
  <si>
    <t>LYNGKILDE A/S RÅDGIVENDE INGENIØRFIRMA F.R.I.</t>
  </si>
  <si>
    <t>Gammel Holstedvej 10 - 4700 Næstved</t>
  </si>
  <si>
    <t>55726611</t>
  </si>
  <si>
    <t>lyngkilde@lyngkilde.dk</t>
  </si>
  <si>
    <t>18530775</t>
  </si>
  <si>
    <t>OVE ARUP &amp; PARTNERS DANMARK A/S</t>
  </si>
  <si>
    <t>Axeltorv 2K - 1609 København V</t>
  </si>
  <si>
    <t>1609</t>
  </si>
  <si>
    <t>33770660</t>
  </si>
  <si>
    <t>copenhagen@arup.com</t>
  </si>
  <si>
    <t>32297374</t>
  </si>
  <si>
    <t>2013-09-05</t>
  </si>
  <si>
    <t>RAUNDAHL &amp; MOESBY A/S</t>
  </si>
  <si>
    <t>Klamsagervej 15 - 8230 Åbyhøj</t>
  </si>
  <si>
    <t>8230</t>
  </si>
  <si>
    <t>Åbyhøj</t>
  </si>
  <si>
    <t>20436190</t>
  </si>
  <si>
    <t>1997-10-24</t>
  </si>
  <si>
    <t>Spangenberg &amp; Madsen Rådgivende Ingeniører A/S</t>
  </si>
  <si>
    <t>Herstedøstervej 27 - 29 - 2620 Albertslund</t>
  </si>
  <si>
    <t>2620</t>
  </si>
  <si>
    <t>Albertslund</t>
  </si>
  <si>
    <t>43446000</t>
  </si>
  <si>
    <t>26048494</t>
  </si>
  <si>
    <t>2001-05-16</t>
  </si>
  <si>
    <t>SYSTRA DANMARK A/S</t>
  </si>
  <si>
    <t>Kay Fiskers Plads 10 - 2300 København S</t>
  </si>
  <si>
    <t>2300</t>
  </si>
  <si>
    <t>København S</t>
  </si>
  <si>
    <t>52519000</t>
  </si>
  <si>
    <t>dk_info@systra.com</t>
  </si>
  <si>
    <t>15684046</t>
  </si>
  <si>
    <t>SØREN JENSEN RÅDGIVENDE INGENIØRFIRMA A/S</t>
  </si>
  <si>
    <t>Europaplads 8B - 3. - 8000 Aarhus C</t>
  </si>
  <si>
    <t>8000</t>
  </si>
  <si>
    <t>Aarhus C</t>
  </si>
  <si>
    <t>86122611</t>
  </si>
  <si>
    <t>info@sj.dk</t>
  </si>
  <si>
    <t>16167207</t>
  </si>
  <si>
    <t>1992-06-10</t>
  </si>
  <si>
    <t>TORKIL LAURSEN A/S, RÅDGIVENDE INGENIØRFIRMA</t>
  </si>
  <si>
    <t>Klovtofteparken 2 - Klovtofte - 2630 Taastrup</t>
  </si>
  <si>
    <t>43994000</t>
  </si>
  <si>
    <t>14977139</t>
  </si>
  <si>
    <t>1991-03-15</t>
  </si>
  <si>
    <t>TRI-CONSULT A/S. RÅDGIVENDE INGENIØRER F.R.I.</t>
  </si>
  <si>
    <t>Skanderborgvej 213 - 2. - 8260 Viby J</t>
  </si>
  <si>
    <t>8260</t>
  </si>
  <si>
    <t>Viby J</t>
  </si>
  <si>
    <t>triconsult@tri-consult.dk</t>
  </si>
  <si>
    <t>10093325</t>
  </si>
  <si>
    <t>TÆKKER RÅDGIVENDE INGENIØRER A/S</t>
  </si>
  <si>
    <t>C/O Tækker Administration, C/O Tækker Administration - Hack Kampmanns Plads 3 - st. tv - 8000 Aarhus C</t>
  </si>
  <si>
    <t>86191844</t>
  </si>
  <si>
    <t>phn@taekker.dk</t>
  </si>
  <si>
    <t>15701382</t>
  </si>
  <si>
    <t>VIBORG INGENIØRERNE A/S</t>
  </si>
  <si>
    <t>Fabrikvej 4 - 8800 Viborg</t>
  </si>
  <si>
    <t>86624111</t>
  </si>
  <si>
    <t>26369126</t>
  </si>
  <si>
    <t>2001-12-19</t>
  </si>
  <si>
    <t>WISSENBERG A/S RÅDGIVENDE INGENIØRER F.R.I</t>
  </si>
  <si>
    <t>Hejrevej 26 - 4. - 2400 København NV</t>
  </si>
  <si>
    <t>33863486</t>
  </si>
  <si>
    <t>info@wissenberg.dk</t>
  </si>
  <si>
    <t>19474984</t>
  </si>
  <si>
    <t>1996-06-25</t>
  </si>
  <si>
    <t>ØLLGAARD RÅDGIVENDE INGENIØRER A/S</t>
  </si>
  <si>
    <t>Strandvejen 128 - 2900 Hellerup</t>
  </si>
  <si>
    <t>2900</t>
  </si>
  <si>
    <t>Hellerup</t>
  </si>
  <si>
    <t>39610161</t>
  </si>
  <si>
    <t>mail@ollgaard.dk</t>
  </si>
  <si>
    <t>Rådgivnings- og ingeniørvirksomhed med design, projektering og industri­løsninger.</t>
  </si>
  <si>
    <t>Rådgivende ingeniørfirma med konstruktions-, installations- og projekt­rådgivning.</t>
  </si>
  <si>
    <t>Holding- og projekt­selskab med aktiviteter inden for investering og drift.</t>
  </si>
  <si>
    <t>Rådgivende ingeniørvirksomhed med byggeprojekter og teknisk projektering.</t>
  </si>
  <si>
    <t>Entreprise- og installationsvirksomhed med fokus på energi og infrastruktur.</t>
  </si>
  <si>
    <t>Rådgivende ingeniørvirksomhed med projektering af byggeri og anlæg.</t>
  </si>
  <si>
    <t>Rådgivende ingeniørfirma med konstruktion, installation og projektledelse.</t>
  </si>
  <si>
    <t>Rådgivningsvirksomhed med miljø-, jord- og geoteknisk ekspertise.</t>
  </si>
  <si>
    <t>Rådgivende ingeniørvirksomhed med design, planlægning og myndigheds­rådgivning.</t>
  </si>
  <si>
    <t>Turbine- og kraftteknologi­virksomhed for industri og energisektoren.</t>
  </si>
  <si>
    <t>Rådgivende ingeniørvirksomhed med konstruktion, installation og bæredygtighed.</t>
  </si>
  <si>
    <t>Rådgivende ingeniørvirksomhed med byggeprojektering, konstruktion og drift.</t>
  </si>
  <si>
    <t>Ingeniørvirksomhed med rådgivning i byggeri, konstruktion og udviklingsprojekter.</t>
  </si>
  <si>
    <t>Industri- og cementteknologi­virksomhed med procesanlæg og engineering.</t>
  </si>
  <si>
    <t>Rådgivende ingeniørfirma med planlægning, konstruktion og byggeteknisk rådgivning.</t>
  </si>
  <si>
    <t>Rådgivningsvirksomhed med projektstyring, design og bæredygtighed.</t>
  </si>
  <si>
    <t>Geoteknisk og geologisk rådgiver med jordbundsundersøgelser og analyser.</t>
  </si>
  <si>
    <t>Rådgivende ingeniørfirma med teknisk projektering og byggeledelse.</t>
  </si>
  <si>
    <t>Ingeniørvirksomhed med rådgivning inden for konstruktion, installation og energi.</t>
  </si>
  <si>
    <t>Rådgivende ingeniørvirksomhed med multidisciplinær projekt­rådgivning.</t>
  </si>
  <si>
    <t>Ingeniørvirksomhed specialiseret i tårn- og stålkonstruktioner til industrien.</t>
  </si>
  <si>
    <t>Ingeniør- og miljøteknisk virksomhed med vandbehandling og klimatilpasning.</t>
  </si>
  <si>
    <t>Projekt- og byggeledelsesvirksomhed med bygherrerådgivning og udvikling.</t>
  </si>
  <si>
    <t>Rådgivende ingeniørvirksomhed med design, analyse og projektering af byggeri.</t>
  </si>
  <si>
    <t>Engineeringvirksomhed med offshore-, marine- og energi­projektering.</t>
  </si>
  <si>
    <t>Rådgivende ingeniørfirma med konstruktion, installation og bæredygtighed.</t>
  </si>
  <si>
    <t>Internationalt rådgiverfirma med design, ingeniørteknik og byudvikling.</t>
  </si>
  <si>
    <t>Entreprisekoncern med byggeri, udvikling og projektstyring.</t>
  </si>
  <si>
    <t>Rådgivende ingeniørvirksomhed med el-installation, tekniske systemer og projektering.</t>
  </si>
  <si>
    <t>Ingeniørvirksomhed med fokus på transport, jernbane og infrastruktur.</t>
  </si>
  <si>
    <t>Rådgivende ingeniørfirma med projektering, konstruktion og design.</t>
  </si>
  <si>
    <t>Rådgivende ingeniørfirma med byggeri, installation og projektledelse.</t>
  </si>
  <si>
    <t>Rådgivende ingeniørvirksomhed med konstruktion, installation og energi.</t>
  </si>
  <si>
    <t>Ingeniørvirksomhed med rådgivning inden for anlæg, konstruktion og byggeri.</t>
  </si>
  <si>
    <t>Ingeniørvirksomhed med rådgivning i byggeri, installation og projektledelse.</t>
  </si>
  <si>
    <t>Rådgivende ingeniørvirksomhed med konstruktion, installation og klima­design.</t>
  </si>
  <si>
    <t>Rådgivende ingeniørfirma med konstruktion, byggeri og anlægsteknisk rådgivning.</t>
  </si>
  <si>
    <t>Ingen Virksomheder i denne Branchekode som matcher vores kriterier</t>
  </si>
  <si>
    <t>FRANCK MILJØ- &amp; GEOTEKNIK A/S</t>
  </si>
  <si>
    <t>Sandøvej 3 - 8700 Horsens</t>
  </si>
  <si>
    <t>711240 Geologiske undersøgelser og prospektering, landinspektører mv.</t>
  </si>
  <si>
    <t>info@geoteknik.dk</t>
  </si>
  <si>
    <t>Geopartner Landinspektører A/S</t>
  </si>
  <si>
    <t>Rugårdsvej 55A - 5000 Odense C</t>
  </si>
  <si>
    <t>SKEL.DK LANDINSPEKTØRER P/S</t>
  </si>
  <si>
    <t>Ndr.Stationsvej 14B - 4200 Slagelse</t>
  </si>
  <si>
    <t>TVILUM LANDINSPEKTØRFIRMA A/S</t>
  </si>
  <si>
    <t>Herredsvejen 14 - 3400 Hillerød</t>
  </si>
  <si>
    <t>AAKJAER Landinspektører P/S</t>
  </si>
  <si>
    <t>Vestergade 8B - 2. 3 - 8000 Aarhus C</t>
  </si>
  <si>
    <t>8000@aalsp.dk</t>
  </si>
  <si>
    <t>89546311</t>
  </si>
  <si>
    <t>1979-10-12</t>
  </si>
  <si>
    <t>47333200</t>
  </si>
  <si>
    <t>20014784</t>
  </si>
  <si>
    <t>63135050</t>
  </si>
  <si>
    <t>34203180</t>
  </si>
  <si>
    <t>2011-12-20</t>
  </si>
  <si>
    <t>27930395</t>
  </si>
  <si>
    <t>48251100</t>
  </si>
  <si>
    <t>38502522</t>
  </si>
  <si>
    <t>2017-03-15</t>
  </si>
  <si>
    <t>86132922</t>
  </si>
  <si>
    <t>Rådgivningsvirksomhed med miljøundersøgelser, geoteknik og jordbundsanalyser.</t>
  </si>
  <si>
    <t>Landinspektørvirksomhed med opmåling, matrikulering og arealforvaltning.</t>
  </si>
  <si>
    <t>Landinspektørfirma med opmåling, ejendomsjuridisk rådgivning og afsætning.</t>
  </si>
  <si>
    <t>Landinspektørvirksomhed med opmåling, afsætning og geodata i byggeprojekter.</t>
  </si>
  <si>
    <t>Landinspektørfirma med matrikulering, opmåling og projektstøtte i byggeri.</t>
  </si>
  <si>
    <t>28124341</t>
  </si>
  <si>
    <t>2004-09-24</t>
  </si>
  <si>
    <t>AVIDENZ A/S</t>
  </si>
  <si>
    <t>Magnoliavej 6 - Dyrup - 5250 Odense SV</t>
  </si>
  <si>
    <t>711290 Anden teknisk rådgivning</t>
  </si>
  <si>
    <t>66173455</t>
  </si>
  <si>
    <t>10854431</t>
  </si>
  <si>
    <t>1987-04-01</t>
  </si>
  <si>
    <t>Bureau Veritas Solutions Denmark A/S</t>
  </si>
  <si>
    <t>Oldenborggade 25 - 7000 Fredericia</t>
  </si>
  <si>
    <t>77311000</t>
  </si>
  <si>
    <t>32785905</t>
  </si>
  <si>
    <t>2010-03-05</t>
  </si>
  <si>
    <t>DANSK ENERGIRÅDGIVNING A/S</t>
  </si>
  <si>
    <t>Glarmestervej 18B - 8600 Silkeborg</t>
  </si>
  <si>
    <t>86837483</t>
  </si>
  <si>
    <t>kontakt@danskenergiraadgivning.dk</t>
  </si>
  <si>
    <t>28985827</t>
  </si>
  <si>
    <t>2005-09-07</t>
  </si>
  <si>
    <t>EA ENERGIANALYSE A/S</t>
  </si>
  <si>
    <t>Gammeltorv 8 - 6. - 1457 København K</t>
  </si>
  <si>
    <t>1457</t>
  </si>
  <si>
    <t>60391716</t>
  </si>
  <si>
    <t>jw@eaea.dk</t>
  </si>
  <si>
    <t>19265501</t>
  </si>
  <si>
    <t>NORDOMATIC A/S</t>
  </si>
  <si>
    <t>Haraldsgade 36 - 3. tv - 7400 Herning</t>
  </si>
  <si>
    <t>97132688</t>
  </si>
  <si>
    <t>info@dominus.dk</t>
  </si>
  <si>
    <t>33077831</t>
  </si>
  <si>
    <t>2010-08-16</t>
  </si>
  <si>
    <t>NRGi Rådgivning A/S</t>
  </si>
  <si>
    <t>Lautrupvang 2 - 2750 Ballerup</t>
  </si>
  <si>
    <t>29399417</t>
  </si>
  <si>
    <t>2006-02-20</t>
  </si>
  <si>
    <t>SYOSIL ApS</t>
  </si>
  <si>
    <t>Spotorno Alle 4 - Høje Taastrup - 2630 Taastrup</t>
  </si>
  <si>
    <t>46361132</t>
  </si>
  <si>
    <t>steen@syosil.com</t>
  </si>
  <si>
    <t>31480604</t>
  </si>
  <si>
    <t>2008-05-23</t>
  </si>
  <si>
    <t>VID FIRE-KILL ApS</t>
  </si>
  <si>
    <t>Norgesvej 2 - Tved - 5700 Svendborg</t>
  </si>
  <si>
    <t>5700</t>
  </si>
  <si>
    <t>Svendborg</t>
  </si>
  <si>
    <t>62621024</t>
  </si>
  <si>
    <t>Rådgivningsvirksomhed med fokus på arbejdsmiljø, certificering og compliance.</t>
  </si>
  <si>
    <t>Inspektions- og certificeringsvirksomhed med kvalitetssikring og teknisk rådgivning.</t>
  </si>
  <si>
    <t>Energirådgivningsvirksomhed med energieffektivisering og optimeringsprojekter.</t>
  </si>
  <si>
    <t>Analysevirksomhed med energiøkonomi, systemanalyser og grøn omstilling.</t>
  </si>
  <si>
    <t>Automations- og CTS-virksomhed med intelligente bygningsstyringssystemer.</t>
  </si>
  <si>
    <t>Rådgivningsvirksomhed med energistyring, bygningsoptimering og bæredygtighed.</t>
  </si>
  <si>
    <t>Specialistvirksomhed inden for geotekniske materialer, sikring og industribyggeri.</t>
  </si>
  <si>
    <t>Virksomhed specialiseret i højtryks-vand­tåge brandslukningssystemer til byggeri og industri.</t>
  </si>
  <si>
    <t>21806935</t>
  </si>
  <si>
    <t>1999-06-28</t>
  </si>
  <si>
    <t>ANDERS MATTHIESSEN ApS</t>
  </si>
  <si>
    <t>Nordsøvej 19 - 2150 Nordhavn</t>
  </si>
  <si>
    <t>2150</t>
  </si>
  <si>
    <t>Nordhavn</t>
  </si>
  <si>
    <t>813000 Landskabspleje</t>
  </si>
  <si>
    <t>39277238</t>
  </si>
  <si>
    <t>31279453</t>
  </si>
  <si>
    <t>2008-02-29</t>
  </si>
  <si>
    <t>ANLÆG NORD ApS</t>
  </si>
  <si>
    <t>Hobrovej 91 - Vokslev - 9240 Nibe</t>
  </si>
  <si>
    <t>98182188</t>
  </si>
  <si>
    <t>mail@anlaegnord.dk</t>
  </si>
  <si>
    <t>25115279</t>
  </si>
  <si>
    <t>2013-11-28</t>
  </si>
  <si>
    <t>ANLÆGSGARTNER GOTTLIEB A/S</t>
  </si>
  <si>
    <t>Stålager 1 - 4050 Skibby</t>
  </si>
  <si>
    <t>4050</t>
  </si>
  <si>
    <t>Skibby</t>
  </si>
  <si>
    <t>73528119</t>
  </si>
  <si>
    <t>1984-01-26</t>
  </si>
  <si>
    <t>ANLÆGSGARTNERNE H. HOFFMANN A/S</t>
  </si>
  <si>
    <t>Randersvej 503 - 8380 Trige</t>
  </si>
  <si>
    <t>86175777</t>
  </si>
  <si>
    <t>hh@h-hoffmann.dk</t>
  </si>
  <si>
    <t>14373691</t>
  </si>
  <si>
    <t>1990-06-25</t>
  </si>
  <si>
    <t>BRDR H S JENSEN ApS</t>
  </si>
  <si>
    <t>Lundsgårdsvej 5 - Høve - 4261 Dalmose</t>
  </si>
  <si>
    <t>4261</t>
  </si>
  <si>
    <t>Dalmose</t>
  </si>
  <si>
    <t>20899689</t>
  </si>
  <si>
    <t>1998-04-01</t>
  </si>
  <si>
    <t>EBBE DALSGAARD A/S</t>
  </si>
  <si>
    <t>Vejenbrødvej 45A - Vejenbrød - 2980 Kokkedal</t>
  </si>
  <si>
    <t>2980</t>
  </si>
  <si>
    <t>Kokkedal</t>
  </si>
  <si>
    <t>49141720</t>
  </si>
  <si>
    <t>mail@edas.dk</t>
  </si>
  <si>
    <t>29442703</t>
  </si>
  <si>
    <t>2006-03-30</t>
  </si>
  <si>
    <t>ELMERHØJ ANLÆGSGARTNERI A/S</t>
  </si>
  <si>
    <t>Skelhøjsvej 1 - 9541 Suldrup</t>
  </si>
  <si>
    <t>9541</t>
  </si>
  <si>
    <t>Suldrup</t>
  </si>
  <si>
    <t>98378606</t>
  </si>
  <si>
    <t>elmerhoj@elmerhoj.dk</t>
  </si>
  <si>
    <t>30714415</t>
  </si>
  <si>
    <t>F. J. POULSEN A/S</t>
  </si>
  <si>
    <t>Snubbekorsvej 8 - Sengeløse - 2630 Taastrup</t>
  </si>
  <si>
    <t>22140069</t>
  </si>
  <si>
    <t>fjp@fjpas.dk</t>
  </si>
  <si>
    <t>29615756</t>
  </si>
  <si>
    <t>2006-06-08</t>
  </si>
  <si>
    <t>Forstas A/S</t>
  </si>
  <si>
    <t>Prins Georgs Kvarter 3 - Snoghøj - 7000 Fredericia</t>
  </si>
  <si>
    <t>info@forstas.dk</t>
  </si>
  <si>
    <t>33598653</t>
  </si>
  <si>
    <t>2011-04-15</t>
  </si>
  <si>
    <t>idverde A/S</t>
  </si>
  <si>
    <t>Øde Hastrup Vej 65 - Vor Frue - 4000 Roskilde</t>
  </si>
  <si>
    <t>58112100</t>
  </si>
  <si>
    <t>info@groenvaekst.dk</t>
  </si>
  <si>
    <t>27064159</t>
  </si>
  <si>
    <t>2003-03-07</t>
  </si>
  <si>
    <t>KAARE ANLÆGSGARTNERI A/S</t>
  </si>
  <si>
    <t>Lille Havelsevej 157 - Strø - 3320 Skævinge</t>
  </si>
  <si>
    <t>47383358</t>
  </si>
  <si>
    <t>gartner@kaare-anlaeg.dk</t>
  </si>
  <si>
    <t>14035370</t>
  </si>
  <si>
    <t>1990-03-30</t>
  </si>
  <si>
    <t>LANDSKABSENTREPRENØR SVEN BECH A/S</t>
  </si>
  <si>
    <t>Mesterlodden 13 - 2820 Gentofte</t>
  </si>
  <si>
    <t>2820</t>
  </si>
  <si>
    <t>Gentofte</t>
  </si>
  <si>
    <t>39680655</t>
  </si>
  <si>
    <t>svenbech@svenbech.dk</t>
  </si>
  <si>
    <t>32298087</t>
  </si>
  <si>
    <t>2013-09-03</t>
  </si>
  <si>
    <t>NORD-NOB DK ApS</t>
  </si>
  <si>
    <t>Christianshedevej 34 - 7441 Bording</t>
  </si>
  <si>
    <t>7441</t>
  </si>
  <si>
    <t>Bording</t>
  </si>
  <si>
    <t>37317969</t>
  </si>
  <si>
    <t>2015-12-21</t>
  </si>
  <si>
    <t>Thomsen's ApS</t>
  </si>
  <si>
    <t>Teglgårdsvej 4A - 2920 Charlottenlund</t>
  </si>
  <si>
    <t>40607080</t>
  </si>
  <si>
    <t>kontor@thomsens.dk</t>
  </si>
  <si>
    <t>27649661</t>
  </si>
  <si>
    <t>2004-03-17</t>
  </si>
  <si>
    <t>VÆKST &amp; MILJØ A/S</t>
  </si>
  <si>
    <t>Skovsøvej 10 - Skovsø - 4200 Slagelse</t>
  </si>
  <si>
    <t>Anlægsgartnerfirma med mindre entrepriser, plejeopgaver og belægningsarbejde.</t>
  </si>
  <si>
    <t>Anlægsvirksomhed med udendørs miljøer, belægning og grøn pleje.</t>
  </si>
  <si>
    <t>Anlægsgartnerfirma med grønne områder, belægning og drift af udearealer.</t>
  </si>
  <si>
    <t>Anlægsgartnerfirma med pleje, beplantning og vedligehold af grønne områder.</t>
  </si>
  <si>
    <t>Anlægsvirksomhed med belægning, jordarbejde og mindre entrepriser.</t>
  </si>
  <si>
    <t>Anlægsgartnerfirma med parkpleje, belægning og landskabsprojekter.</t>
  </si>
  <si>
    <t>Anlægsgartnerfirma med anlægsarbejde, beplantning og grøn drift.</t>
  </si>
  <si>
    <t>Anlægsvirksomhed med grøn pleje, belægning og udendørsarealer.</t>
  </si>
  <si>
    <t>Drifts- og anlægsvirksomhed med grøn pleje, beplantning og naturservice.</t>
  </si>
  <si>
    <t>Anlægsgartnerkoncern med parker, drift, vedligehold og offentlige arealer.</t>
  </si>
  <si>
    <t>Anlægsgartnerfirma med grønne projekter, belægning og beplantning.</t>
  </si>
  <si>
    <t>Landskabsentreprenør med udendørs anlæg, belægning og grøn drift.</t>
  </si>
  <si>
    <t>Virksomhed med grøn pleje, vegetationskontrol og udendørsarealer.</t>
  </si>
  <si>
    <t>Anlægsgartnerfirma med vedligehold, belægning og mindre entrepriser.</t>
  </si>
  <si>
    <t>Anlægsgartner- og miljøvirksomhed med naturpleje og grøn drift.</t>
  </si>
  <si>
    <t>Entreprise,Service</t>
  </si>
  <si>
    <t>Små opgaver,Entreprise,Service</t>
  </si>
  <si>
    <t>Små opgaver,Entreprise</t>
  </si>
  <si>
    <t>Special case: 6 årsværk, 38 ansatte</t>
  </si>
  <si>
    <t xml:space="preserve">Vægtning: </t>
  </si>
  <si>
    <r>
      <t xml:space="preserve">For at kunne lave en vurdering af relevante virksomheder, vil jeg lave en </t>
    </r>
    <r>
      <rPr>
        <i/>
        <sz val="11"/>
        <color rgb="FF000000"/>
        <rFont val="Aptos Narrow"/>
        <family val="2"/>
        <scheme val="minor"/>
      </rPr>
      <t>Samlet Score</t>
    </r>
    <r>
      <rPr>
        <sz val="11"/>
        <color rgb="FF000000"/>
        <rFont val="Aptos Narrow"/>
        <family val="2"/>
        <scheme val="minor"/>
      </rPr>
      <t>, som er sammensat på baggrund af:</t>
    </r>
  </si>
  <si>
    <t>Point:</t>
  </si>
  <si>
    <t>Størrelse på virksomhed i form af Årsværk:</t>
  </si>
  <si>
    <t>Kompleksitet (Små opgaver, Entreprise, Service):</t>
  </si>
  <si>
    <t xml:space="preserve">Digital Potentiale </t>
  </si>
  <si>
    <t>Digital Potentiale:</t>
  </si>
  <si>
    <t>Vurderingen er, at ITEffect går målrettet efter de middelstore i SMV segmentet. Derfor går vi benhårdt efter firmaer med 75-125 ansatte. Når der kommer mere end 175 ansatte antages det, at virksomhederne søger over mod en større løsning (digitalt backbone) som ITEffect på nuværende tidspunkt ikke kan levere.</t>
  </si>
  <si>
    <t>Samlet Score Maxfordeling:</t>
  </si>
  <si>
    <t>3 funktioner = 40 point, 2 funktioner = 25 point, 1 = 10 point</t>
  </si>
  <si>
    <t>Jo flere opgave typer en virksomhed har, jo mere komplekst er det at holde overblik. Varertager man kun en enkelt funktion, kan man godt løses uden at skulle bruge et ERP system til at planlægge og registrere. Derfor skal det give ekstra point for flere end 1 opgave.</t>
  </si>
  <si>
    <t>Hvis virksomheden har 100 årsværk → 40 point. Hvis den har 75 eller 125 → 30 point. Hvis den har 50 eller 150 → 20 point. Hvis den har &lt;45 eller &gt;175 → 0 point.</t>
  </si>
  <si>
    <t>Point givning internt i pointskalaen:</t>
  </si>
  <si>
    <t>Entreprise + Service = 20 point, service el. entreprise = 10 point, kun små opgaver  =5 point</t>
  </si>
  <si>
    <t>Her er det vigtigt at se på ITEffects core produkt: De store liscenser. Og hvem har brug for flest af dem: virksomheder der både har entreprise og serivce. Dernæst er det virksomheder som enten har service eller entreprise og til sidst dem med små opgaver.</t>
  </si>
  <si>
    <t>Samlet Score:</t>
  </si>
  <si>
    <t>Formler:</t>
  </si>
  <si>
    <t>Fiktiv 1</t>
  </si>
  <si>
    <t>Fik 2</t>
  </si>
  <si>
    <t>I procent</t>
  </si>
  <si>
    <t>Ark</t>
  </si>
  <si>
    <t>Række</t>
  </si>
  <si>
    <t>Del 2 (funktioner i N)</t>
  </si>
  <si>
    <t>Del 3 (kombination i N)</t>
  </si>
  <si>
    <t>Tekst fra kolonne D</t>
  </si>
  <si>
    <t>I alt</t>
  </si>
  <si>
    <t>over 65</t>
  </si>
  <si>
    <t>Del 1 (C, gradueret)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</si>
</sst>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indexed="8"/>
      <name val="Aptos Narrow"/>
      <family val="2"/>
      <scheme val="minor"/>
    </font>
    <font>
      <b/>
      <sz val="11"/>
      <name val="Calibri"/>
      <family val="2"/>
    </font>
    <font>
      <u/>
      <sz val="11"/>
      <color indexed="12"/>
      <name val="Calibri"/>
      <family val="2"/>
    </font>
    <font>
      <sz val="11"/>
      <color rgb="FF1A1A1A"/>
      <name val="Aptos Narrow"/>
      <family val="2"/>
      <scheme val="minor"/>
    </font>
    <font>
      <sz val="11"/>
      <color rgb="FF000000"/>
      <name val="Calibri"/>
      <family val="2"/>
    </font>
    <font>
      <sz val="12"/>
      <color rgb="FF1A1A1A"/>
      <name val="IBM Plex Sans"/>
      <family val="2"/>
    </font>
    <font>
      <b/>
      <sz val="11"/>
      <color rgb="FF000000"/>
      <name val="Calibri"/>
      <family val="2"/>
    </font>
    <font>
      <b/>
      <sz val="11"/>
      <name val="Calibri"/>
      <family val="2"/>
    </font>
    <font>
      <b/>
      <sz val="11"/>
      <color indexed="8"/>
      <name val="Aptos Narrow"/>
      <family val="2"/>
      <scheme val="minor"/>
    </font>
    <font>
      <i/>
      <sz val="11"/>
      <color rgb="FF000000"/>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rgb="FFFFFFFF"/>
        <bgColor indexed="64"/>
      </patternFill>
    </fill>
  </fills>
  <borders count="10">
    <border>
      <left/>
      <right/>
      <top/>
      <bottom/>
      <diagonal/>
    </border>
    <border>
      <left/>
      <right/>
      <top style="medium">
        <color rgb="FFBFBFBF"/>
      </top>
      <bottom style="medium">
        <color rgb="FFBFBFBF"/>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0" fillId="0" borderId="0" xfId="0" applyAlignment="1">
      <alignment horizontal="center"/>
    </xf>
    <xf numFmtId="0" fontId="1" fillId="0" borderId="0" xfId="0" applyFont="1" applyAlignment="1">
      <alignment horizontal="center"/>
    </xf>
    <xf numFmtId="0" fontId="3" fillId="2" borderId="0" xfId="0" applyFont="1" applyFill="1" applyAlignment="1">
      <alignment horizontal="center" wrapText="1"/>
    </xf>
    <xf numFmtId="0" fontId="0" fillId="0" borderId="1" xfId="0" applyBorder="1" applyAlignment="1">
      <alignment horizontal="center"/>
    </xf>
    <xf numFmtId="0" fontId="4" fillId="0" borderId="0" xfId="0" applyFont="1"/>
    <xf numFmtId="0" fontId="5" fillId="0" borderId="0" xfId="0" applyFont="1" applyAlignment="1">
      <alignment wrapText="1"/>
    </xf>
    <xf numFmtId="0" fontId="6" fillId="0" borderId="0" xfId="0" applyFont="1" applyAlignment="1">
      <alignment horizontal="right"/>
    </xf>
    <xf numFmtId="0" fontId="7" fillId="0" borderId="0" xfId="0" applyFont="1"/>
    <xf numFmtId="0" fontId="7" fillId="0" borderId="0" xfId="0" applyFont="1" applyAlignment="1">
      <alignment horizontal="left"/>
    </xf>
    <xf numFmtId="0" fontId="0" fillId="0" borderId="0" xfId="0" applyAlignment="1">
      <alignment horizontal="center" vertical="center" wrapText="1"/>
    </xf>
    <xf numFmtId="9" fontId="0" fillId="0" borderId="0" xfId="0" applyNumberFormat="1"/>
    <xf numFmtId="0" fontId="0" fillId="0" borderId="0" xfId="0" applyAlignment="1">
      <alignment horizontal="center" vertical="center" wrapText="1"/>
    </xf>
    <xf numFmtId="0" fontId="0" fillId="0" borderId="0" xfId="0" applyAlignment="1">
      <alignment horizontal="center" wrapText="1"/>
    </xf>
    <xf numFmtId="0" fontId="8" fillId="0" borderId="2" xfId="0" applyFont="1" applyBorder="1" applyAlignment="1">
      <alignment horizontal="center" vertical="center" wrapText="1"/>
    </xf>
    <xf numFmtId="0" fontId="8" fillId="0" borderId="8"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0" xfId="0" applyFont="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9" xfId="0" applyFont="1" applyBorder="1" applyAlignment="1">
      <alignment horizontal="center" vertical="center" wrapText="1"/>
    </xf>
    <xf numFmtId="0" fontId="8" fillId="0" borderId="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Bygge-</a:t>
            </a:r>
            <a:r>
              <a:rPr lang="en-US" baseline="0"/>
              <a:t> og Anlæg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multiLvlStrRef>
              <c:f>Forside!$A$3:$B$22</c:f>
              <c:multiLvlStrCache>
                <c:ptCount val="20"/>
                <c:lvl>
                  <c:pt idx="0">
                    <c:v>Opførelse af bygninger</c:v>
                  </c:pt>
                  <c:pt idx="1">
                    <c:v>Anlæg af veje og motorveje</c:v>
                  </c:pt>
                  <c:pt idx="2">
                    <c:v>Anlæg af ledningsnet til væsker</c:v>
                  </c:pt>
                  <c:pt idx="3">
                    <c:v>Andre anlægsaktivitet</c:v>
                  </c:pt>
                  <c:pt idx="4">
                    <c:v>Nedrivning</c:v>
                  </c:pt>
                  <c:pt idx="5">
                    <c:v>Forberede byggepladsarbejder</c:v>
                  </c:pt>
                  <c:pt idx="6">
                    <c:v>Installation of vvs-, varme og klimaanlæg</c:v>
                  </c:pt>
                  <c:pt idx="7">
                    <c:v>Tømere -og bygningssnedker</c:v>
                  </c:pt>
                  <c:pt idx="8">
                    <c:v>Udførelse af gulvbelædning og vægbeklædning</c:v>
                  </c:pt>
                  <c:pt idx="9">
                    <c:v>Andre speciserede bygningsarbejde</c:v>
                  </c:pt>
                  <c:pt idx="10">
                    <c:v>Specialiserede anlægsaktiviteter</c:v>
                  </c:pt>
                  <c:pt idx="11">
                    <c:v>Murerabejde</c:v>
                  </c:pt>
                  <c:pt idx="12">
                    <c:v>Andre specialiseret byggeaktiviteter</c:v>
                  </c:pt>
                  <c:pt idx="13">
                    <c:v>Gennemførelse af byggeprojekter</c:v>
                  </c:pt>
                  <c:pt idx="14">
                    <c:v>Rådgivende ingniøraktivitet</c:v>
                  </c:pt>
                  <c:pt idx="15">
                    <c:v>Rådgivende ingeniøraktivitet inden for fabriks anlæg</c:v>
                  </c:pt>
                  <c:pt idx="16">
                    <c:v>Geologiske undersøgelser, prospeketering, landskab m.m</c:v>
                  </c:pt>
                  <c:pt idx="17">
                    <c:v>Anden tekniskrådgivning</c:v>
                  </c:pt>
                  <c:pt idx="18">
                    <c:v>Landaskabspleje</c:v>
                  </c:pt>
                  <c:pt idx="19">
                    <c:v>Konservering resturation af kulturarv</c:v>
                  </c:pt>
                </c:lvl>
                <c:lvl>
                  <c:pt idx="0">
                    <c:v>410000</c:v>
                  </c:pt>
                  <c:pt idx="1">
                    <c:v>421100</c:v>
                  </c:pt>
                  <c:pt idx="2">
                    <c:v>422100</c:v>
                  </c:pt>
                  <c:pt idx="3">
                    <c:v>429900</c:v>
                  </c:pt>
                  <c:pt idx="4">
                    <c:v>431100</c:v>
                  </c:pt>
                  <c:pt idx="5">
                    <c:v>431200</c:v>
                  </c:pt>
                  <c:pt idx="6">
                    <c:v>432200</c:v>
                  </c:pt>
                  <c:pt idx="7">
                    <c:v>433200</c:v>
                  </c:pt>
                  <c:pt idx="8">
                    <c:v>433300</c:v>
                  </c:pt>
                  <c:pt idx="9">
                    <c:v>434200</c:v>
                  </c:pt>
                  <c:pt idx="10">
                    <c:v>435000</c:v>
                  </c:pt>
                  <c:pt idx="11">
                    <c:v>439100</c:v>
                  </c:pt>
                  <c:pt idx="12">
                    <c:v>439900</c:v>
                  </c:pt>
                  <c:pt idx="13">
                    <c:v>681200</c:v>
                  </c:pt>
                  <c:pt idx="14">
                    <c:v>711210</c:v>
                  </c:pt>
                  <c:pt idx="15">
                    <c:v>711230</c:v>
                  </c:pt>
                  <c:pt idx="16">
                    <c:v>711240</c:v>
                  </c:pt>
                  <c:pt idx="17">
                    <c:v>711290</c:v>
                  </c:pt>
                  <c:pt idx="18">
                    <c:v>813000</c:v>
                  </c:pt>
                  <c:pt idx="19">
                    <c:v>913000</c:v>
                  </c:pt>
                </c:lvl>
              </c:multiLvlStrCache>
            </c:multiLvlStrRef>
          </c:cat>
          <c:val>
            <c:numRef>
              <c:f>Forside!$C$3:$C$22</c:f>
              <c:numCache>
                <c:formatCode>General</c:formatCode>
                <c:ptCount val="20"/>
                <c:pt idx="0">
                  <c:v>105</c:v>
                </c:pt>
                <c:pt idx="1">
                  <c:v>8</c:v>
                </c:pt>
                <c:pt idx="2">
                  <c:v>10</c:v>
                </c:pt>
                <c:pt idx="3">
                  <c:v>5</c:v>
                </c:pt>
                <c:pt idx="4">
                  <c:v>7</c:v>
                </c:pt>
                <c:pt idx="5">
                  <c:v>20</c:v>
                </c:pt>
                <c:pt idx="6">
                  <c:v>66</c:v>
                </c:pt>
                <c:pt idx="7">
                  <c:v>107</c:v>
                </c:pt>
                <c:pt idx="8">
                  <c:v>14</c:v>
                </c:pt>
                <c:pt idx="9">
                  <c:v>8</c:v>
                </c:pt>
                <c:pt idx="10">
                  <c:v>5</c:v>
                </c:pt>
                <c:pt idx="11">
                  <c:v>32</c:v>
                </c:pt>
                <c:pt idx="12">
                  <c:v>27</c:v>
                </c:pt>
                <c:pt idx="13">
                  <c:v>10</c:v>
                </c:pt>
                <c:pt idx="14">
                  <c:v>37</c:v>
                </c:pt>
                <c:pt idx="15">
                  <c:v>0</c:v>
                </c:pt>
                <c:pt idx="16">
                  <c:v>5</c:v>
                </c:pt>
                <c:pt idx="17">
                  <c:v>8</c:v>
                </c:pt>
                <c:pt idx="18">
                  <c:v>15</c:v>
                </c:pt>
                <c:pt idx="19">
                  <c:v>0</c:v>
                </c:pt>
              </c:numCache>
            </c:numRef>
          </c:val>
          <c:extLst>
            <c:ext xmlns:c16="http://schemas.microsoft.com/office/drawing/2014/chart" uri="{C3380CC4-5D6E-409C-BE32-E72D297353CC}">
              <c16:uniqueId val="{00000000-668D-420F-90F1-D919A03B6B7E}"/>
            </c:ext>
          </c:extLst>
        </c:ser>
        <c:dLbls>
          <c:showLegendKey val="0"/>
          <c:showVal val="0"/>
          <c:showCatName val="0"/>
          <c:showSerName val="0"/>
          <c:showPercent val="0"/>
          <c:showBubbleSize val="0"/>
        </c:dLbls>
        <c:gapWidth val="150"/>
        <c:overlap val="100"/>
        <c:axId val="235972848"/>
        <c:axId val="640204544"/>
      </c:barChart>
      <c:catAx>
        <c:axId val="235972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Branche</a:t>
                </a:r>
                <a:r>
                  <a:rPr lang="en-US" baseline="0"/>
                  <a:t>kode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4544"/>
        <c:crosses val="autoZero"/>
        <c:auto val="1"/>
        <c:lblAlgn val="ctr"/>
        <c:lblOffset val="100"/>
        <c:noMultiLvlLbl val="0"/>
      </c:catAx>
      <c:valAx>
        <c:axId val="640204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Antal virksomheder</a:t>
                </a:r>
                <a:r>
                  <a:rPr lang="en-US" baseline="0"/>
                  <a:t> - matchende kriterier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97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333375</xdr:colOff>
      <xdr:row>0</xdr:row>
      <xdr:rowOff>157162</xdr:rowOff>
    </xdr:from>
    <xdr:to>
      <xdr:col>19</xdr:col>
      <xdr:colOff>600075</xdr:colOff>
      <xdr:row>28</xdr:row>
      <xdr:rowOff>123825</xdr:rowOff>
    </xdr:to>
    <xdr:graphicFrame macro="">
      <xdr:nvGraphicFramePr>
        <xdr:cNvPr id="3" name="Chart 2">
          <a:extLst>
            <a:ext uri="{FF2B5EF4-FFF2-40B4-BE49-F238E27FC236}">
              <a16:creationId xmlns:a16="http://schemas.microsoft.com/office/drawing/2014/main" id="{C29D7A60-21BD-1769-CBC4-308353E50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7.xml.rels><?xml version="1.0" encoding="UTF-8" standalone="yes"?>
<Relationships xmlns="http://schemas.openxmlformats.org/package/2006/relationships"><Relationship Id="rId1" Type="http://schemas.openxmlformats.org/officeDocument/2006/relationships/hyperlink" Target="https://datacvr.virk.dk/artikel/vilkaar-og-betingels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877CC-F2B8-4BFB-9E3D-63326BB339EA}">
  <sheetPr codeName="Ark27"/>
  <dimension ref="A1"/>
  <sheetViews>
    <sheetView topLeftCell="P1"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F2084-0230-4F8C-A284-9F2814D44967}">
  <sheetPr codeName="Ark1"/>
  <dimension ref="A1:C30"/>
  <sheetViews>
    <sheetView topLeftCell="A7" workbookViewId="0">
      <selection activeCell="C25" sqref="C25"/>
    </sheetView>
  </sheetViews>
  <sheetFormatPr defaultRowHeight="14.4" x14ac:dyDescent="0.3"/>
  <cols>
    <col min="1" max="1" width="20.5546875" bestFit="1" customWidth="1"/>
    <col min="2" max="2" width="53.33203125" bestFit="1" customWidth="1"/>
    <col min="3" max="3" width="4" bestFit="1" customWidth="1"/>
  </cols>
  <sheetData>
    <row r="1" spans="1:3" x14ac:dyDescent="0.3">
      <c r="A1" s="7" t="s">
        <v>730</v>
      </c>
      <c r="B1" s="7"/>
      <c r="C1" s="7"/>
    </row>
    <row r="2" spans="1:3" x14ac:dyDescent="0.3">
      <c r="A2" s="7"/>
      <c r="B2" s="7"/>
      <c r="C2" s="7"/>
    </row>
    <row r="3" spans="1:3" x14ac:dyDescent="0.3">
      <c r="A3" s="7">
        <v>410000</v>
      </c>
      <c r="B3" s="7" t="s">
        <v>839</v>
      </c>
      <c r="C3" s="7">
        <v>105</v>
      </c>
    </row>
    <row r="4" spans="1:3" x14ac:dyDescent="0.3">
      <c r="A4" s="7">
        <v>421100</v>
      </c>
      <c r="B4" s="7" t="s">
        <v>853</v>
      </c>
      <c r="C4" s="7">
        <v>8</v>
      </c>
    </row>
    <row r="5" spans="1:3" x14ac:dyDescent="0.3">
      <c r="A5" s="7">
        <v>422100</v>
      </c>
      <c r="B5" s="7" t="s">
        <v>848</v>
      </c>
      <c r="C5" s="7">
        <v>10</v>
      </c>
    </row>
    <row r="6" spans="1:3" x14ac:dyDescent="0.3">
      <c r="A6" s="7">
        <v>429900</v>
      </c>
      <c r="B6" s="7" t="s">
        <v>846</v>
      </c>
      <c r="C6" s="7">
        <v>5</v>
      </c>
    </row>
    <row r="7" spans="1:3" x14ac:dyDescent="0.3">
      <c r="A7" s="7">
        <v>431100</v>
      </c>
      <c r="B7" s="7" t="s">
        <v>857</v>
      </c>
      <c r="C7" s="7">
        <v>7</v>
      </c>
    </row>
    <row r="8" spans="1:3" x14ac:dyDescent="0.3">
      <c r="A8" s="7">
        <v>431200</v>
      </c>
      <c r="B8" s="7" t="s">
        <v>841</v>
      </c>
      <c r="C8" s="7">
        <v>20</v>
      </c>
    </row>
    <row r="9" spans="1:3" x14ac:dyDescent="0.3">
      <c r="A9" s="7">
        <v>432200</v>
      </c>
      <c r="B9" s="7" t="s">
        <v>855</v>
      </c>
      <c r="C9" s="7">
        <v>66</v>
      </c>
    </row>
    <row r="10" spans="1:3" x14ac:dyDescent="0.3">
      <c r="A10" s="7">
        <v>433200</v>
      </c>
      <c r="B10" s="7" t="s">
        <v>842</v>
      </c>
      <c r="C10" s="7">
        <v>107</v>
      </c>
    </row>
    <row r="11" spans="1:3" x14ac:dyDescent="0.3">
      <c r="A11" s="7">
        <v>433300</v>
      </c>
      <c r="B11" s="7" t="s">
        <v>854</v>
      </c>
      <c r="C11" s="7">
        <v>14</v>
      </c>
    </row>
    <row r="12" spans="1:3" x14ac:dyDescent="0.3">
      <c r="A12" s="7">
        <v>434200</v>
      </c>
      <c r="B12" s="7" t="s">
        <v>858</v>
      </c>
      <c r="C12" s="7">
        <v>8</v>
      </c>
    </row>
    <row r="13" spans="1:3" x14ac:dyDescent="0.3">
      <c r="A13" s="7">
        <v>435000</v>
      </c>
      <c r="B13" s="7" t="s">
        <v>851</v>
      </c>
      <c r="C13" s="7">
        <v>5</v>
      </c>
    </row>
    <row r="14" spans="1:3" x14ac:dyDescent="0.3">
      <c r="A14" s="7">
        <v>439100</v>
      </c>
      <c r="B14" s="7" t="s">
        <v>849</v>
      </c>
      <c r="C14" s="7">
        <v>32</v>
      </c>
    </row>
    <row r="15" spans="1:3" ht="17.399999999999999" x14ac:dyDescent="0.4">
      <c r="A15" s="7">
        <v>439900</v>
      </c>
      <c r="B15" s="8" t="s">
        <v>840</v>
      </c>
      <c r="C15" s="7">
        <v>27</v>
      </c>
    </row>
    <row r="16" spans="1:3" x14ac:dyDescent="0.3">
      <c r="A16" s="7">
        <v>681200</v>
      </c>
      <c r="B16" s="7" t="s">
        <v>847</v>
      </c>
      <c r="C16" s="7">
        <v>10</v>
      </c>
    </row>
    <row r="17" spans="1:3" x14ac:dyDescent="0.3">
      <c r="A17" s="7">
        <v>711210</v>
      </c>
      <c r="B17" s="7" t="s">
        <v>844</v>
      </c>
      <c r="C17" s="7">
        <v>37</v>
      </c>
    </row>
    <row r="18" spans="1:3" x14ac:dyDescent="0.3">
      <c r="A18" s="7">
        <v>711230</v>
      </c>
      <c r="B18" s="7" t="s">
        <v>850</v>
      </c>
      <c r="C18" s="7">
        <v>0</v>
      </c>
    </row>
    <row r="19" spans="1:3" x14ac:dyDescent="0.3">
      <c r="A19" s="7">
        <v>711240</v>
      </c>
      <c r="B19" s="7" t="s">
        <v>856</v>
      </c>
      <c r="C19" s="7">
        <v>5</v>
      </c>
    </row>
    <row r="20" spans="1:3" x14ac:dyDescent="0.3">
      <c r="A20" s="7">
        <v>711290</v>
      </c>
      <c r="B20" s="7" t="s">
        <v>852</v>
      </c>
      <c r="C20" s="7">
        <v>8</v>
      </c>
    </row>
    <row r="21" spans="1:3" x14ac:dyDescent="0.3">
      <c r="A21" s="7">
        <v>813000</v>
      </c>
      <c r="B21" s="7" t="s">
        <v>845</v>
      </c>
      <c r="C21" s="7">
        <v>15</v>
      </c>
    </row>
    <row r="22" spans="1:3" x14ac:dyDescent="0.3">
      <c r="A22" s="7">
        <v>913000</v>
      </c>
      <c r="B22" s="7" t="s">
        <v>843</v>
      </c>
      <c r="C22" s="7">
        <v>0</v>
      </c>
    </row>
    <row r="23" spans="1:3" x14ac:dyDescent="0.3">
      <c r="A23" s="7"/>
      <c r="B23" s="7"/>
    </row>
    <row r="24" spans="1:3" x14ac:dyDescent="0.3">
      <c r="A24" s="7"/>
      <c r="B24" s="9" t="s">
        <v>859</v>
      </c>
      <c r="C24" s="7">
        <f>SUM(C3:C22)</f>
        <v>489</v>
      </c>
    </row>
    <row r="25" spans="1:3" x14ac:dyDescent="0.3">
      <c r="C25" s="7"/>
    </row>
    <row r="26" spans="1:3" x14ac:dyDescent="0.3">
      <c r="A26" t="s">
        <v>864</v>
      </c>
      <c r="C26" s="7"/>
    </row>
    <row r="27" spans="1:3" x14ac:dyDescent="0.3">
      <c r="C27" s="7"/>
    </row>
    <row r="28" spans="1:3" x14ac:dyDescent="0.3">
      <c r="A28" s="7" t="s">
        <v>724</v>
      </c>
      <c r="B28" s="7" t="s">
        <v>860</v>
      </c>
    </row>
    <row r="29" spans="1:3" x14ac:dyDescent="0.3">
      <c r="A29" s="7" t="s">
        <v>726</v>
      </c>
      <c r="B29" s="7" t="s">
        <v>861</v>
      </c>
    </row>
    <row r="30" spans="1:3" x14ac:dyDescent="0.3">
      <c r="A30" s="7" t="s">
        <v>862</v>
      </c>
      <c r="B30" s="7" t="s">
        <v>863</v>
      </c>
    </row>
  </sheetData>
  <sortState xmlns:xlrd2="http://schemas.microsoft.com/office/spreadsheetml/2017/richdata2" ref="A4:C22">
    <sortCondition ref="A3:A22"/>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2"/>
  <dimension ref="A1:M35"/>
  <sheetViews>
    <sheetView workbookViewId="0">
      <selection activeCell="H29" sqref="H29"/>
    </sheetView>
  </sheetViews>
  <sheetFormatPr defaultRowHeight="14.4" x14ac:dyDescent="0.3"/>
  <sheetData>
    <row r="1" spans="1:13" x14ac:dyDescent="0.3">
      <c r="A1" s="1" t="s">
        <v>11</v>
      </c>
      <c r="B1" s="1" t="s">
        <v>0</v>
      </c>
      <c r="C1" s="1" t="s">
        <v>732</v>
      </c>
      <c r="D1" s="1" t="s">
        <v>1</v>
      </c>
      <c r="E1" s="1" t="s">
        <v>2</v>
      </c>
      <c r="F1" s="1" t="s">
        <v>3</v>
      </c>
      <c r="G1" s="1" t="s">
        <v>4</v>
      </c>
      <c r="H1" s="1" t="s">
        <v>5</v>
      </c>
      <c r="I1" s="1" t="s">
        <v>6</v>
      </c>
      <c r="J1" s="1" t="s">
        <v>7</v>
      </c>
      <c r="K1" s="1" t="s">
        <v>8</v>
      </c>
      <c r="L1" s="1" t="s">
        <v>736</v>
      </c>
      <c r="M1" s="10" t="s">
        <v>917</v>
      </c>
    </row>
    <row r="3" spans="1:13" ht="15" customHeight="1" x14ac:dyDescent="0.3">
      <c r="C3" s="14" t="s">
        <v>734</v>
      </c>
    </row>
    <row r="4" spans="1:13" x14ac:dyDescent="0.3">
      <c r="C4" s="14"/>
    </row>
    <row r="5" spans="1:13" x14ac:dyDescent="0.3">
      <c r="C5" s="14"/>
    </row>
    <row r="6" spans="1:13" x14ac:dyDescent="0.3">
      <c r="C6" s="14"/>
    </row>
    <row r="7" spans="1:13" x14ac:dyDescent="0.3">
      <c r="C7" s="14"/>
    </row>
    <row r="8" spans="1:13" x14ac:dyDescent="0.3">
      <c r="C8" s="14"/>
    </row>
    <row r="9" spans="1:13" x14ac:dyDescent="0.3">
      <c r="C9" s="14"/>
    </row>
    <row r="10" spans="1:13" x14ac:dyDescent="0.3">
      <c r="C10" s="14"/>
    </row>
    <row r="11" spans="1:13" x14ac:dyDescent="0.3">
      <c r="C11" s="14"/>
    </row>
    <row r="12" spans="1:13" x14ac:dyDescent="0.3">
      <c r="C12" s="14"/>
    </row>
    <row r="13" spans="1:13" x14ac:dyDescent="0.3">
      <c r="C13" s="14"/>
    </row>
    <row r="14" spans="1:13" x14ac:dyDescent="0.3">
      <c r="C14" s="14"/>
    </row>
    <row r="15" spans="1:13" x14ac:dyDescent="0.3">
      <c r="C15" s="14"/>
    </row>
    <row r="16" spans="1:13" x14ac:dyDescent="0.3">
      <c r="C16" s="14"/>
    </row>
    <row r="17" spans="3:3" x14ac:dyDescent="0.3">
      <c r="C17" s="14"/>
    </row>
    <row r="18" spans="3:3" x14ac:dyDescent="0.3">
      <c r="C18" s="14"/>
    </row>
    <row r="19" spans="3:3" x14ac:dyDescent="0.3">
      <c r="C19" s="14"/>
    </row>
    <row r="20" spans="3:3" x14ac:dyDescent="0.3">
      <c r="C20" s="14"/>
    </row>
    <row r="21" spans="3:3" x14ac:dyDescent="0.3">
      <c r="C21" s="14"/>
    </row>
    <row r="22" spans="3:3" x14ac:dyDescent="0.3">
      <c r="C22" s="14"/>
    </row>
    <row r="25" spans="3:3" ht="15" customHeight="1" x14ac:dyDescent="0.3">
      <c r="C25" s="15" t="s">
        <v>735</v>
      </c>
    </row>
    <row r="26" spans="3:3" x14ac:dyDescent="0.3">
      <c r="C26" s="15"/>
    </row>
    <row r="27" spans="3:3" x14ac:dyDescent="0.3">
      <c r="C27" s="15"/>
    </row>
    <row r="28" spans="3:3" x14ac:dyDescent="0.3">
      <c r="C28" s="15"/>
    </row>
    <row r="29" spans="3:3" x14ac:dyDescent="0.3">
      <c r="C29" s="15"/>
    </row>
    <row r="30" spans="3:3" x14ac:dyDescent="0.3">
      <c r="C30" s="15"/>
    </row>
    <row r="31" spans="3:3" x14ac:dyDescent="0.3">
      <c r="C31" s="15"/>
    </row>
    <row r="32" spans="3:3" x14ac:dyDescent="0.3">
      <c r="C32" s="15"/>
    </row>
    <row r="33" spans="3:3" x14ac:dyDescent="0.3">
      <c r="C33" s="15"/>
    </row>
    <row r="34" spans="3:3" x14ac:dyDescent="0.3">
      <c r="C34" s="15"/>
    </row>
    <row r="35" spans="3:3" x14ac:dyDescent="0.3">
      <c r="C35" s="15"/>
    </row>
  </sheetData>
  <mergeCells count="2">
    <mergeCell ref="C3:C22"/>
    <mergeCell ref="C25:C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3"/>
  <dimension ref="A1:N106"/>
  <sheetViews>
    <sheetView topLeftCell="A54" workbookViewId="0">
      <selection activeCell="D68" sqref="D68"/>
    </sheetView>
  </sheetViews>
  <sheetFormatPr defaultRowHeight="14.4" x14ac:dyDescent="0.3"/>
  <cols>
    <col min="1" max="1" width="9.33203125" customWidth="1"/>
    <col min="2" max="2" width="10" bestFit="1" customWidth="1"/>
    <col min="3" max="3" width="7.88671875" style="3" customWidth="1"/>
    <col min="4" max="4" width="20.6640625" customWidth="1"/>
    <col min="5" max="5" width="14.6640625" customWidth="1"/>
    <col min="6" max="6" width="7.44140625" bestFit="1" customWidth="1"/>
    <col min="7" max="7" width="5.33203125" customWidth="1"/>
    <col min="8" max="8" width="7" customWidth="1"/>
    <col min="9" max="9" width="6" customWidth="1"/>
    <col min="10" max="10" width="5.88671875" customWidth="1"/>
    <col min="11" max="11" width="5.6640625" customWidth="1"/>
    <col min="12" max="12" width="4.109375" customWidth="1"/>
    <col min="13" max="13" width="44.33203125" customWidth="1"/>
  </cols>
  <sheetData>
    <row r="1" spans="1:14" x14ac:dyDescent="0.3">
      <c r="A1" s="1" t="s">
        <v>9</v>
      </c>
      <c r="B1" s="1" t="s">
        <v>0</v>
      </c>
      <c r="C1" s="4" t="s">
        <v>732</v>
      </c>
      <c r="D1" s="1" t="s">
        <v>1</v>
      </c>
      <c r="E1" s="1" t="s">
        <v>2</v>
      </c>
      <c r="F1" s="1" t="s">
        <v>3</v>
      </c>
      <c r="G1" s="1" t="s">
        <v>4</v>
      </c>
      <c r="H1" s="1" t="s">
        <v>10</v>
      </c>
      <c r="I1" s="1" t="s">
        <v>5</v>
      </c>
      <c r="J1" s="1" t="s">
        <v>6</v>
      </c>
      <c r="K1" s="1" t="s">
        <v>7</v>
      </c>
      <c r="L1" s="1" t="s">
        <v>8</v>
      </c>
      <c r="M1" s="1" t="s">
        <v>736</v>
      </c>
      <c r="N1" s="10" t="s">
        <v>917</v>
      </c>
    </row>
    <row r="2" spans="1:14" x14ac:dyDescent="0.3">
      <c r="A2" t="s">
        <v>683</v>
      </c>
      <c r="B2" t="s">
        <v>684</v>
      </c>
      <c r="C2" s="3" t="s">
        <v>733</v>
      </c>
      <c r="D2" t="s">
        <v>685</v>
      </c>
      <c r="E2" t="s">
        <v>686</v>
      </c>
      <c r="F2" t="s">
        <v>687</v>
      </c>
      <c r="G2" t="s">
        <v>688</v>
      </c>
      <c r="H2" t="s">
        <v>32</v>
      </c>
      <c r="I2" t="s">
        <v>24</v>
      </c>
      <c r="L2" t="s">
        <v>25</v>
      </c>
      <c r="M2" t="s">
        <v>745</v>
      </c>
      <c r="N2" t="s">
        <v>831</v>
      </c>
    </row>
    <row r="3" spans="1:14" x14ac:dyDescent="0.3">
      <c r="A3" t="s">
        <v>449</v>
      </c>
      <c r="B3" t="s">
        <v>450</v>
      </c>
      <c r="C3" s="3" t="s">
        <v>733</v>
      </c>
      <c r="D3" t="s">
        <v>451</v>
      </c>
      <c r="E3" t="s">
        <v>452</v>
      </c>
      <c r="F3" t="s">
        <v>453</v>
      </c>
      <c r="G3" t="s">
        <v>454</v>
      </c>
      <c r="H3" t="s">
        <v>32</v>
      </c>
      <c r="I3" t="s">
        <v>24</v>
      </c>
      <c r="L3" t="s">
        <v>25</v>
      </c>
      <c r="M3" t="s">
        <v>747</v>
      </c>
      <c r="N3" t="s">
        <v>831</v>
      </c>
    </row>
    <row r="4" spans="1:14" x14ac:dyDescent="0.3">
      <c r="A4" t="s">
        <v>16</v>
      </c>
      <c r="B4" t="s">
        <v>17</v>
      </c>
      <c r="C4" s="3" t="s">
        <v>733</v>
      </c>
      <c r="D4" t="s">
        <v>19</v>
      </c>
      <c r="E4" t="s">
        <v>20</v>
      </c>
      <c r="F4" t="s">
        <v>21</v>
      </c>
      <c r="G4" t="s">
        <v>22</v>
      </c>
      <c r="H4" t="s">
        <v>23</v>
      </c>
      <c r="I4" t="s">
        <v>24</v>
      </c>
      <c r="L4" t="s">
        <v>25</v>
      </c>
      <c r="M4" t="s">
        <v>749</v>
      </c>
      <c r="N4" t="s">
        <v>828</v>
      </c>
    </row>
    <row r="5" spans="1:14" x14ac:dyDescent="0.3">
      <c r="A5" t="s">
        <v>616</v>
      </c>
      <c r="B5" t="s">
        <v>617</v>
      </c>
      <c r="C5" s="3" t="s">
        <v>733</v>
      </c>
      <c r="D5" t="s">
        <v>618</v>
      </c>
      <c r="E5" t="s">
        <v>619</v>
      </c>
      <c r="F5" t="s">
        <v>620</v>
      </c>
      <c r="G5" t="s">
        <v>621</v>
      </c>
      <c r="H5" t="s">
        <v>23</v>
      </c>
      <c r="I5" t="s">
        <v>24</v>
      </c>
      <c r="L5" t="s">
        <v>25</v>
      </c>
      <c r="M5" t="s">
        <v>754</v>
      </c>
      <c r="N5" t="s">
        <v>831</v>
      </c>
    </row>
    <row r="6" spans="1:14" x14ac:dyDescent="0.3">
      <c r="A6" t="s">
        <v>506</v>
      </c>
      <c r="B6" t="s">
        <v>507</v>
      </c>
      <c r="C6" s="3" t="s">
        <v>733</v>
      </c>
      <c r="D6" t="s">
        <v>508</v>
      </c>
      <c r="E6" t="s">
        <v>509</v>
      </c>
      <c r="F6" t="s">
        <v>387</v>
      </c>
      <c r="G6" t="s">
        <v>388</v>
      </c>
      <c r="H6" t="s">
        <v>510</v>
      </c>
      <c r="I6" t="s">
        <v>24</v>
      </c>
      <c r="L6" t="s">
        <v>25</v>
      </c>
      <c r="M6" t="s">
        <v>837</v>
      </c>
      <c r="N6" t="s">
        <v>831</v>
      </c>
    </row>
    <row r="7" spans="1:14" x14ac:dyDescent="0.3">
      <c r="A7" t="s">
        <v>383</v>
      </c>
      <c r="B7" t="s">
        <v>384</v>
      </c>
      <c r="C7" s="3" t="s">
        <v>733</v>
      </c>
      <c r="D7" t="s">
        <v>385</v>
      </c>
      <c r="E7" t="s">
        <v>386</v>
      </c>
      <c r="F7" t="s">
        <v>387</v>
      </c>
      <c r="G7" t="s">
        <v>388</v>
      </c>
      <c r="H7" t="s">
        <v>23</v>
      </c>
      <c r="I7" t="s">
        <v>24</v>
      </c>
      <c r="L7" t="s">
        <v>25</v>
      </c>
      <c r="M7" t="s">
        <v>766</v>
      </c>
      <c r="N7" t="s">
        <v>831</v>
      </c>
    </row>
    <row r="8" spans="1:14" x14ac:dyDescent="0.3">
      <c r="A8" t="s">
        <v>74</v>
      </c>
      <c r="B8" t="s">
        <v>75</v>
      </c>
      <c r="C8" s="3" t="s">
        <v>733</v>
      </c>
      <c r="D8" t="s">
        <v>76</v>
      </c>
      <c r="E8" t="s">
        <v>77</v>
      </c>
      <c r="F8" t="s">
        <v>78</v>
      </c>
      <c r="G8" t="s">
        <v>79</v>
      </c>
      <c r="H8" t="s">
        <v>32</v>
      </c>
      <c r="I8" t="s">
        <v>24</v>
      </c>
      <c r="J8" t="s">
        <v>80</v>
      </c>
      <c r="L8" t="s">
        <v>25</v>
      </c>
      <c r="M8" t="s">
        <v>778</v>
      </c>
      <c r="N8" t="s">
        <v>831</v>
      </c>
    </row>
    <row r="9" spans="1:14" x14ac:dyDescent="0.3">
      <c r="A9" t="s">
        <v>590</v>
      </c>
      <c r="B9" t="s">
        <v>591</v>
      </c>
      <c r="C9" s="3" t="s">
        <v>733</v>
      </c>
      <c r="D9" t="s">
        <v>592</v>
      </c>
      <c r="E9" t="s">
        <v>593</v>
      </c>
      <c r="F9" t="s">
        <v>445</v>
      </c>
      <c r="G9" t="s">
        <v>446</v>
      </c>
      <c r="H9" t="s">
        <v>32</v>
      </c>
      <c r="I9" t="s">
        <v>24</v>
      </c>
      <c r="L9" t="s">
        <v>25</v>
      </c>
      <c r="M9" t="s">
        <v>745</v>
      </c>
      <c r="N9" t="s">
        <v>831</v>
      </c>
    </row>
    <row r="10" spans="1:14" x14ac:dyDescent="0.3">
      <c r="A10" t="s">
        <v>525</v>
      </c>
      <c r="B10" t="s">
        <v>526</v>
      </c>
      <c r="C10" s="3" t="s">
        <v>733</v>
      </c>
      <c r="D10" t="s">
        <v>527</v>
      </c>
      <c r="E10" t="s">
        <v>528</v>
      </c>
      <c r="F10" t="s">
        <v>529</v>
      </c>
      <c r="G10" t="s">
        <v>530</v>
      </c>
      <c r="H10" t="s">
        <v>23</v>
      </c>
      <c r="I10" t="s">
        <v>24</v>
      </c>
      <c r="J10" t="s">
        <v>531</v>
      </c>
      <c r="K10" t="s">
        <v>532</v>
      </c>
      <c r="L10" t="s">
        <v>25</v>
      </c>
      <c r="M10" t="s">
        <v>814</v>
      </c>
      <c r="N10" t="s">
        <v>831</v>
      </c>
    </row>
    <row r="11" spans="1:14" x14ac:dyDescent="0.3">
      <c r="A11" t="s">
        <v>59</v>
      </c>
      <c r="B11" t="s">
        <v>60</v>
      </c>
      <c r="C11" s="3" t="s">
        <v>733</v>
      </c>
      <c r="D11" t="s">
        <v>61</v>
      </c>
      <c r="E11" t="s">
        <v>62</v>
      </c>
      <c r="F11" t="s">
        <v>63</v>
      </c>
      <c r="G11" t="s">
        <v>64</v>
      </c>
      <c r="H11" t="s">
        <v>32</v>
      </c>
      <c r="I11" t="s">
        <v>24</v>
      </c>
      <c r="J11" t="s">
        <v>65</v>
      </c>
      <c r="K11" t="s">
        <v>66</v>
      </c>
      <c r="L11" t="s">
        <v>25</v>
      </c>
      <c r="M11" t="s">
        <v>838</v>
      </c>
      <c r="N11" t="s">
        <v>836</v>
      </c>
    </row>
    <row r="12" spans="1:14" x14ac:dyDescent="0.3">
      <c r="A12" t="s">
        <v>651</v>
      </c>
      <c r="B12" t="s">
        <v>652</v>
      </c>
      <c r="C12" s="3" t="s">
        <v>733</v>
      </c>
      <c r="D12" t="s">
        <v>653</v>
      </c>
      <c r="E12" t="s">
        <v>654</v>
      </c>
      <c r="F12" t="s">
        <v>655</v>
      </c>
      <c r="G12" t="s">
        <v>656</v>
      </c>
      <c r="H12" t="s">
        <v>23</v>
      </c>
      <c r="I12" t="s">
        <v>24</v>
      </c>
      <c r="J12" t="s">
        <v>657</v>
      </c>
      <c r="L12" t="s">
        <v>25</v>
      </c>
      <c r="M12" t="s">
        <v>824</v>
      </c>
      <c r="N12" t="s">
        <v>831</v>
      </c>
    </row>
    <row r="13" spans="1:14" x14ac:dyDescent="0.3">
      <c r="A13" t="s">
        <v>139</v>
      </c>
      <c r="B13" t="s">
        <v>140</v>
      </c>
      <c r="C13" s="3">
        <v>435</v>
      </c>
      <c r="D13" t="s">
        <v>141</v>
      </c>
      <c r="E13" t="s">
        <v>142</v>
      </c>
      <c r="F13" t="s">
        <v>143</v>
      </c>
      <c r="G13" t="s">
        <v>144</v>
      </c>
      <c r="H13" t="s">
        <v>32</v>
      </c>
      <c r="I13" t="s">
        <v>24</v>
      </c>
      <c r="L13" t="s">
        <v>25</v>
      </c>
      <c r="M13" t="s">
        <v>738</v>
      </c>
      <c r="N13" t="s">
        <v>831</v>
      </c>
    </row>
    <row r="14" spans="1:14" x14ac:dyDescent="0.3">
      <c r="A14" t="s">
        <v>511</v>
      </c>
      <c r="B14" t="s">
        <v>512</v>
      </c>
      <c r="C14" s="3">
        <v>405</v>
      </c>
      <c r="D14" t="s">
        <v>513</v>
      </c>
      <c r="E14" t="s">
        <v>514</v>
      </c>
      <c r="F14" t="s">
        <v>515</v>
      </c>
      <c r="G14" t="s">
        <v>516</v>
      </c>
      <c r="H14" t="s">
        <v>23</v>
      </c>
      <c r="I14" t="s">
        <v>24</v>
      </c>
      <c r="K14" t="s">
        <v>517</v>
      </c>
      <c r="L14" t="s">
        <v>25</v>
      </c>
      <c r="M14" t="s">
        <v>804</v>
      </c>
      <c r="N14" t="s">
        <v>831</v>
      </c>
    </row>
    <row r="15" spans="1:14" x14ac:dyDescent="0.3">
      <c r="A15" t="s">
        <v>294</v>
      </c>
      <c r="B15" t="s">
        <v>295</v>
      </c>
      <c r="C15" s="3">
        <v>381</v>
      </c>
      <c r="D15" t="s">
        <v>296</v>
      </c>
      <c r="E15" t="s">
        <v>297</v>
      </c>
      <c r="F15" t="s">
        <v>298</v>
      </c>
      <c r="G15" t="s">
        <v>299</v>
      </c>
      <c r="H15" t="s">
        <v>32</v>
      </c>
      <c r="I15" t="s">
        <v>24</v>
      </c>
      <c r="J15" t="s">
        <v>300</v>
      </c>
      <c r="L15" t="s">
        <v>25</v>
      </c>
      <c r="M15" t="s">
        <v>786</v>
      </c>
      <c r="N15" t="s">
        <v>831</v>
      </c>
    </row>
    <row r="16" spans="1:14" x14ac:dyDescent="0.3">
      <c r="A16" t="s">
        <v>665</v>
      </c>
      <c r="B16" t="s">
        <v>666</v>
      </c>
      <c r="C16" s="3">
        <v>268</v>
      </c>
      <c r="D16" t="s">
        <v>667</v>
      </c>
      <c r="E16" t="s">
        <v>668</v>
      </c>
      <c r="F16" t="s">
        <v>334</v>
      </c>
      <c r="G16" t="s">
        <v>335</v>
      </c>
      <c r="H16" t="s">
        <v>32</v>
      </c>
      <c r="I16" t="s">
        <v>24</v>
      </c>
      <c r="J16" t="s">
        <v>669</v>
      </c>
      <c r="L16" t="s">
        <v>25</v>
      </c>
      <c r="M16" t="s">
        <v>797</v>
      </c>
      <c r="N16" t="s">
        <v>831</v>
      </c>
    </row>
    <row r="17" spans="1:14" x14ac:dyDescent="0.3">
      <c r="A17" t="s">
        <v>124</v>
      </c>
      <c r="B17" t="s">
        <v>125</v>
      </c>
      <c r="C17" s="3">
        <v>245</v>
      </c>
      <c r="D17" t="s">
        <v>126</v>
      </c>
      <c r="E17" t="s">
        <v>127</v>
      </c>
      <c r="F17" t="s">
        <v>128</v>
      </c>
      <c r="G17" t="s">
        <v>129</v>
      </c>
      <c r="H17" t="s">
        <v>32</v>
      </c>
      <c r="I17" t="s">
        <v>24</v>
      </c>
      <c r="J17" t="s">
        <v>130</v>
      </c>
      <c r="K17" t="s">
        <v>131</v>
      </c>
      <c r="L17" t="s">
        <v>25</v>
      </c>
      <c r="M17" t="s">
        <v>772</v>
      </c>
      <c r="N17" t="s">
        <v>830</v>
      </c>
    </row>
    <row r="18" spans="1:14" x14ac:dyDescent="0.3">
      <c r="A18" t="s">
        <v>200</v>
      </c>
      <c r="B18" t="s">
        <v>201</v>
      </c>
      <c r="C18" s="3">
        <v>243</v>
      </c>
      <c r="D18" t="s">
        <v>202</v>
      </c>
      <c r="E18" t="s">
        <v>203</v>
      </c>
      <c r="F18" t="s">
        <v>39</v>
      </c>
      <c r="G18" t="s">
        <v>40</v>
      </c>
      <c r="H18" t="s">
        <v>32</v>
      </c>
      <c r="I18" t="s">
        <v>24</v>
      </c>
      <c r="L18" t="s">
        <v>25</v>
      </c>
      <c r="M18" t="s">
        <v>752</v>
      </c>
      <c r="N18" t="s">
        <v>831</v>
      </c>
    </row>
    <row r="19" spans="1:14" x14ac:dyDescent="0.3">
      <c r="A19" t="s">
        <v>610</v>
      </c>
      <c r="B19" t="s">
        <v>611</v>
      </c>
      <c r="C19" s="3">
        <v>223</v>
      </c>
      <c r="D19" t="s">
        <v>612</v>
      </c>
      <c r="E19" t="s">
        <v>613</v>
      </c>
      <c r="F19" t="s">
        <v>614</v>
      </c>
      <c r="G19" t="s">
        <v>615</v>
      </c>
      <c r="H19" t="s">
        <v>32</v>
      </c>
      <c r="I19" t="s">
        <v>24</v>
      </c>
      <c r="L19" t="s">
        <v>25</v>
      </c>
      <c r="M19" t="s">
        <v>760</v>
      </c>
      <c r="N19" t="s">
        <v>830</v>
      </c>
    </row>
    <row r="20" spans="1:14" x14ac:dyDescent="0.3">
      <c r="A20" t="s">
        <v>168</v>
      </c>
      <c r="B20" t="s">
        <v>169</v>
      </c>
      <c r="C20" s="3">
        <v>203</v>
      </c>
      <c r="D20" t="s">
        <v>170</v>
      </c>
      <c r="E20" t="s">
        <v>171</v>
      </c>
      <c r="F20" t="s">
        <v>172</v>
      </c>
      <c r="G20" t="s">
        <v>173</v>
      </c>
      <c r="H20" t="s">
        <v>32</v>
      </c>
      <c r="I20" t="s">
        <v>24</v>
      </c>
      <c r="J20" t="s">
        <v>174</v>
      </c>
      <c r="L20" t="s">
        <v>25</v>
      </c>
      <c r="M20" t="s">
        <v>780</v>
      </c>
      <c r="N20" t="s">
        <v>831</v>
      </c>
    </row>
    <row r="21" spans="1:14" x14ac:dyDescent="0.3">
      <c r="A21" t="s">
        <v>51</v>
      </c>
      <c r="B21" t="s">
        <v>52</v>
      </c>
      <c r="C21" s="3">
        <v>192</v>
      </c>
      <c r="D21" t="s">
        <v>53</v>
      </c>
      <c r="E21" t="s">
        <v>54</v>
      </c>
      <c r="F21" t="s">
        <v>55</v>
      </c>
      <c r="G21" t="s">
        <v>56</v>
      </c>
      <c r="H21" t="s">
        <v>32</v>
      </c>
      <c r="I21" t="s">
        <v>24</v>
      </c>
      <c r="J21" t="s">
        <v>57</v>
      </c>
      <c r="K21" t="s">
        <v>58</v>
      </c>
      <c r="L21" t="s">
        <v>25</v>
      </c>
      <c r="M21" t="s">
        <v>777</v>
      </c>
      <c r="N21" t="s">
        <v>831</v>
      </c>
    </row>
    <row r="22" spans="1:14" x14ac:dyDescent="0.3">
      <c r="A22" t="s">
        <v>540</v>
      </c>
      <c r="B22" t="s">
        <v>541</v>
      </c>
      <c r="C22" s="3">
        <v>188</v>
      </c>
      <c r="D22" t="s">
        <v>542</v>
      </c>
      <c r="E22" t="s">
        <v>543</v>
      </c>
      <c r="F22" t="s">
        <v>544</v>
      </c>
      <c r="G22" t="s">
        <v>545</v>
      </c>
      <c r="H22" t="s">
        <v>32</v>
      </c>
      <c r="I22" t="s">
        <v>24</v>
      </c>
      <c r="J22" t="s">
        <v>546</v>
      </c>
      <c r="K22" t="s">
        <v>547</v>
      </c>
      <c r="L22" t="s">
        <v>25</v>
      </c>
      <c r="M22" t="s">
        <v>768</v>
      </c>
      <c r="N22" t="s">
        <v>831</v>
      </c>
    </row>
    <row r="23" spans="1:14" x14ac:dyDescent="0.3">
      <c r="A23" t="s">
        <v>363</v>
      </c>
      <c r="B23" t="s">
        <v>364</v>
      </c>
      <c r="C23" s="3">
        <v>162</v>
      </c>
      <c r="D23" t="s">
        <v>365</v>
      </c>
      <c r="E23" t="s">
        <v>366</v>
      </c>
      <c r="F23" t="s">
        <v>367</v>
      </c>
      <c r="G23" t="s">
        <v>368</v>
      </c>
      <c r="H23" t="s">
        <v>32</v>
      </c>
      <c r="I23" t="s">
        <v>24</v>
      </c>
      <c r="L23" t="s">
        <v>25</v>
      </c>
      <c r="M23" t="s">
        <v>745</v>
      </c>
      <c r="N23" t="s">
        <v>831</v>
      </c>
    </row>
    <row r="24" spans="1:14" x14ac:dyDescent="0.3">
      <c r="A24" t="s">
        <v>349</v>
      </c>
      <c r="B24" t="s">
        <v>350</v>
      </c>
      <c r="C24" s="3">
        <v>160</v>
      </c>
      <c r="D24" t="s">
        <v>351</v>
      </c>
      <c r="E24" t="s">
        <v>352</v>
      </c>
      <c r="F24" t="s">
        <v>353</v>
      </c>
      <c r="G24" t="s">
        <v>354</v>
      </c>
      <c r="H24" t="s">
        <v>23</v>
      </c>
      <c r="I24" t="s">
        <v>24</v>
      </c>
      <c r="K24" t="s">
        <v>355</v>
      </c>
      <c r="L24" t="s">
        <v>25</v>
      </c>
      <c r="M24" t="s">
        <v>771</v>
      </c>
      <c r="N24" t="s">
        <v>831</v>
      </c>
    </row>
    <row r="25" spans="1:14" x14ac:dyDescent="0.3">
      <c r="A25" t="s">
        <v>717</v>
      </c>
      <c r="B25" t="s">
        <v>718</v>
      </c>
      <c r="C25" s="3">
        <v>159</v>
      </c>
      <c r="D25" t="s">
        <v>719</v>
      </c>
      <c r="E25" t="s">
        <v>720</v>
      </c>
      <c r="F25" t="s">
        <v>721</v>
      </c>
      <c r="G25" t="s">
        <v>722</v>
      </c>
      <c r="H25" t="s">
        <v>32</v>
      </c>
      <c r="I25" t="s">
        <v>24</v>
      </c>
      <c r="L25" t="s">
        <v>25</v>
      </c>
      <c r="M25" t="s">
        <v>753</v>
      </c>
      <c r="N25" t="s">
        <v>831</v>
      </c>
    </row>
    <row r="26" spans="1:14" x14ac:dyDescent="0.3">
      <c r="A26" t="s">
        <v>670</v>
      </c>
      <c r="B26" t="s">
        <v>68</v>
      </c>
      <c r="C26" s="3">
        <v>125</v>
      </c>
      <c r="D26" t="s">
        <v>671</v>
      </c>
      <c r="E26" t="s">
        <v>672</v>
      </c>
      <c r="F26" t="s">
        <v>673</v>
      </c>
      <c r="G26" t="s">
        <v>674</v>
      </c>
      <c r="H26" t="s">
        <v>32</v>
      </c>
      <c r="I26" t="s">
        <v>24</v>
      </c>
      <c r="L26" t="s">
        <v>25</v>
      </c>
      <c r="M26" t="s">
        <v>783</v>
      </c>
      <c r="N26" t="s">
        <v>831</v>
      </c>
    </row>
    <row r="27" spans="1:14" x14ac:dyDescent="0.3">
      <c r="A27" t="s">
        <v>342</v>
      </c>
      <c r="B27" t="s">
        <v>343</v>
      </c>
      <c r="C27" s="3">
        <v>114</v>
      </c>
      <c r="D27" t="s">
        <v>344</v>
      </c>
      <c r="E27" t="s">
        <v>345</v>
      </c>
      <c r="F27" t="s">
        <v>346</v>
      </c>
      <c r="G27" t="s">
        <v>347</v>
      </c>
      <c r="H27" t="s">
        <v>32</v>
      </c>
      <c r="I27" t="s">
        <v>24</v>
      </c>
      <c r="J27" t="s">
        <v>348</v>
      </c>
      <c r="L27" t="s">
        <v>25</v>
      </c>
      <c r="M27" t="s">
        <v>759</v>
      </c>
      <c r="N27" t="s">
        <v>831</v>
      </c>
    </row>
    <row r="28" spans="1:14" x14ac:dyDescent="0.3">
      <c r="A28" t="s">
        <v>132</v>
      </c>
      <c r="B28" t="s">
        <v>133</v>
      </c>
      <c r="C28" s="3">
        <v>110</v>
      </c>
      <c r="D28" t="s">
        <v>134</v>
      </c>
      <c r="E28" t="s">
        <v>135</v>
      </c>
      <c r="F28" t="s">
        <v>136</v>
      </c>
      <c r="G28" t="s">
        <v>137</v>
      </c>
      <c r="H28" t="s">
        <v>32</v>
      </c>
      <c r="I28" t="s">
        <v>24</v>
      </c>
      <c r="K28" t="s">
        <v>138</v>
      </c>
      <c r="L28" t="s">
        <v>25</v>
      </c>
      <c r="M28" t="s">
        <v>827</v>
      </c>
      <c r="N28" t="s">
        <v>835</v>
      </c>
    </row>
    <row r="29" spans="1:14" x14ac:dyDescent="0.3">
      <c r="A29" t="s">
        <v>460</v>
      </c>
      <c r="B29" t="s">
        <v>461</v>
      </c>
      <c r="C29" s="3">
        <v>108</v>
      </c>
      <c r="D29" t="s">
        <v>462</v>
      </c>
      <c r="E29" t="s">
        <v>463</v>
      </c>
      <c r="F29" t="s">
        <v>464</v>
      </c>
      <c r="G29" t="s">
        <v>465</v>
      </c>
      <c r="H29" t="s">
        <v>32</v>
      </c>
      <c r="I29" t="s">
        <v>24</v>
      </c>
      <c r="J29" t="s">
        <v>466</v>
      </c>
      <c r="L29" t="s">
        <v>25</v>
      </c>
      <c r="M29" t="s">
        <v>819</v>
      </c>
      <c r="N29" t="s">
        <v>831</v>
      </c>
    </row>
    <row r="30" spans="1:14" x14ac:dyDescent="0.3">
      <c r="A30" t="s">
        <v>500</v>
      </c>
      <c r="B30" t="s">
        <v>501</v>
      </c>
      <c r="C30" s="3">
        <v>106</v>
      </c>
      <c r="D30" t="s">
        <v>502</v>
      </c>
      <c r="E30" t="s">
        <v>503</v>
      </c>
      <c r="F30" t="s">
        <v>504</v>
      </c>
      <c r="G30" t="s">
        <v>505</v>
      </c>
      <c r="H30" t="s">
        <v>32</v>
      </c>
      <c r="I30" t="s">
        <v>24</v>
      </c>
      <c r="L30" t="s">
        <v>25</v>
      </c>
      <c r="M30" t="s">
        <v>745</v>
      </c>
      <c r="N30" t="s">
        <v>831</v>
      </c>
    </row>
    <row r="31" spans="1:14" x14ac:dyDescent="0.3">
      <c r="A31" t="s">
        <v>160</v>
      </c>
      <c r="B31" t="s">
        <v>161</v>
      </c>
      <c r="C31" s="3">
        <v>102</v>
      </c>
      <c r="D31" t="s">
        <v>162</v>
      </c>
      <c r="E31" t="s">
        <v>163</v>
      </c>
      <c r="F31" t="s">
        <v>164</v>
      </c>
      <c r="G31" t="s">
        <v>165</v>
      </c>
      <c r="H31" t="s">
        <v>32</v>
      </c>
      <c r="I31" t="s">
        <v>24</v>
      </c>
      <c r="J31" t="s">
        <v>166</v>
      </c>
      <c r="K31" t="s">
        <v>167</v>
      </c>
      <c r="L31" t="s">
        <v>25</v>
      </c>
      <c r="M31" t="s">
        <v>743</v>
      </c>
      <c r="N31" t="s">
        <v>833</v>
      </c>
    </row>
    <row r="32" spans="1:14" x14ac:dyDescent="0.3">
      <c r="A32" t="s">
        <v>389</v>
      </c>
      <c r="B32" t="s">
        <v>390</v>
      </c>
      <c r="C32" s="3">
        <v>102</v>
      </c>
      <c r="D32" t="s">
        <v>391</v>
      </c>
      <c r="E32" t="s">
        <v>392</v>
      </c>
      <c r="F32" t="s">
        <v>393</v>
      </c>
      <c r="G32" t="s">
        <v>394</v>
      </c>
      <c r="H32" t="s">
        <v>32</v>
      </c>
      <c r="I32" t="s">
        <v>24</v>
      </c>
      <c r="J32" t="s">
        <v>395</v>
      </c>
      <c r="K32" t="s">
        <v>396</v>
      </c>
      <c r="L32" t="s">
        <v>25</v>
      </c>
      <c r="M32" t="s">
        <v>810</v>
      </c>
      <c r="N32" t="s">
        <v>831</v>
      </c>
    </row>
    <row r="33" spans="1:14" x14ac:dyDescent="0.3">
      <c r="A33" t="s">
        <v>301</v>
      </c>
      <c r="B33" t="s">
        <v>302</v>
      </c>
      <c r="C33" s="3">
        <v>99</v>
      </c>
      <c r="D33" t="s">
        <v>303</v>
      </c>
      <c r="E33" t="s">
        <v>304</v>
      </c>
      <c r="F33" t="s">
        <v>305</v>
      </c>
      <c r="G33" t="s">
        <v>306</v>
      </c>
      <c r="H33" t="s">
        <v>32</v>
      </c>
      <c r="I33" t="s">
        <v>24</v>
      </c>
      <c r="J33" t="s">
        <v>307</v>
      </c>
      <c r="K33" t="s">
        <v>308</v>
      </c>
      <c r="L33" t="s">
        <v>25</v>
      </c>
      <c r="M33" t="s">
        <v>739</v>
      </c>
      <c r="N33" t="s">
        <v>831</v>
      </c>
    </row>
    <row r="34" spans="1:14" x14ac:dyDescent="0.3">
      <c r="A34" t="s">
        <v>26</v>
      </c>
      <c r="B34" t="s">
        <v>27</v>
      </c>
      <c r="C34" s="3">
        <v>88</v>
      </c>
      <c r="D34" t="s">
        <v>28</v>
      </c>
      <c r="E34" t="s">
        <v>29</v>
      </c>
      <c r="F34" t="s">
        <v>30</v>
      </c>
      <c r="G34" t="s">
        <v>31</v>
      </c>
      <c r="H34" t="s">
        <v>32</v>
      </c>
      <c r="I34" t="s">
        <v>24</v>
      </c>
      <c r="J34" t="s">
        <v>33</v>
      </c>
      <c r="K34" t="s">
        <v>34</v>
      </c>
      <c r="L34" t="s">
        <v>25</v>
      </c>
      <c r="M34" t="s">
        <v>737</v>
      </c>
      <c r="N34" t="s">
        <v>830</v>
      </c>
    </row>
    <row r="35" spans="1:14" x14ac:dyDescent="0.3">
      <c r="A35" t="s">
        <v>356</v>
      </c>
      <c r="B35" t="s">
        <v>357</v>
      </c>
      <c r="C35" s="3">
        <v>87</v>
      </c>
      <c r="D35" t="s">
        <v>358</v>
      </c>
      <c r="E35" t="s">
        <v>359</v>
      </c>
      <c r="F35" t="s">
        <v>360</v>
      </c>
      <c r="G35" t="s">
        <v>361</v>
      </c>
      <c r="H35" t="s">
        <v>32</v>
      </c>
      <c r="I35" t="s">
        <v>24</v>
      </c>
      <c r="J35" t="s">
        <v>362</v>
      </c>
      <c r="L35" t="s">
        <v>25</v>
      </c>
      <c r="M35" t="s">
        <v>817</v>
      </c>
      <c r="N35" t="s">
        <v>830</v>
      </c>
    </row>
    <row r="36" spans="1:14" x14ac:dyDescent="0.3">
      <c r="A36" t="s">
        <v>95</v>
      </c>
      <c r="B36" t="s">
        <v>96</v>
      </c>
      <c r="C36" s="3">
        <v>76</v>
      </c>
      <c r="D36" t="s">
        <v>97</v>
      </c>
      <c r="E36" t="s">
        <v>98</v>
      </c>
      <c r="F36" t="s">
        <v>99</v>
      </c>
      <c r="G36" t="s">
        <v>100</v>
      </c>
      <c r="H36" t="s">
        <v>32</v>
      </c>
      <c r="I36" t="s">
        <v>24</v>
      </c>
      <c r="J36" t="s">
        <v>101</v>
      </c>
      <c r="L36" t="s">
        <v>25</v>
      </c>
      <c r="M36" t="s">
        <v>765</v>
      </c>
      <c r="N36" t="s">
        <v>831</v>
      </c>
    </row>
    <row r="37" spans="1:14" x14ac:dyDescent="0.3">
      <c r="A37" t="s">
        <v>521</v>
      </c>
      <c r="B37" t="s">
        <v>522</v>
      </c>
      <c r="C37" s="3">
        <v>75</v>
      </c>
      <c r="D37" t="s">
        <v>523</v>
      </c>
      <c r="E37" t="s">
        <v>524</v>
      </c>
      <c r="F37" t="s">
        <v>326</v>
      </c>
      <c r="G37" t="s">
        <v>327</v>
      </c>
      <c r="H37" t="s">
        <v>32</v>
      </c>
      <c r="I37" t="s">
        <v>24</v>
      </c>
      <c r="L37" t="s">
        <v>25</v>
      </c>
      <c r="M37" t="s">
        <v>768</v>
      </c>
      <c r="N37" t="s">
        <v>831</v>
      </c>
    </row>
    <row r="38" spans="1:14" x14ac:dyDescent="0.3">
      <c r="A38" t="s">
        <v>568</v>
      </c>
      <c r="B38" t="s">
        <v>569</v>
      </c>
      <c r="C38" s="3">
        <v>73</v>
      </c>
      <c r="D38" t="s">
        <v>570</v>
      </c>
      <c r="E38" t="s">
        <v>571</v>
      </c>
      <c r="F38" t="s">
        <v>572</v>
      </c>
      <c r="G38" t="s">
        <v>573</v>
      </c>
      <c r="H38" t="s">
        <v>32</v>
      </c>
      <c r="I38" t="s">
        <v>24</v>
      </c>
      <c r="J38" t="s">
        <v>574</v>
      </c>
      <c r="K38" t="s">
        <v>575</v>
      </c>
      <c r="L38" t="s">
        <v>25</v>
      </c>
      <c r="M38" t="s">
        <v>763</v>
      </c>
      <c r="N38" t="s">
        <v>830</v>
      </c>
    </row>
    <row r="39" spans="1:14" x14ac:dyDescent="0.3">
      <c r="A39" t="s">
        <v>658</v>
      </c>
      <c r="B39" t="s">
        <v>659</v>
      </c>
      <c r="C39" s="3">
        <v>69</v>
      </c>
      <c r="D39" t="s">
        <v>660</v>
      </c>
      <c r="E39" t="s">
        <v>661</v>
      </c>
      <c r="F39" t="s">
        <v>662</v>
      </c>
      <c r="G39" t="s">
        <v>663</v>
      </c>
      <c r="H39" t="s">
        <v>32</v>
      </c>
      <c r="I39" t="s">
        <v>24</v>
      </c>
      <c r="J39" t="s">
        <v>664</v>
      </c>
      <c r="L39" t="s">
        <v>25</v>
      </c>
      <c r="M39" t="s">
        <v>795</v>
      </c>
      <c r="N39" t="s">
        <v>831</v>
      </c>
    </row>
    <row r="40" spans="1:14" x14ac:dyDescent="0.3">
      <c r="A40" t="s">
        <v>675</v>
      </c>
      <c r="B40" t="s">
        <v>676</v>
      </c>
      <c r="C40" s="3">
        <v>68</v>
      </c>
      <c r="D40" t="s">
        <v>677</v>
      </c>
      <c r="E40" t="s">
        <v>678</v>
      </c>
      <c r="F40" t="s">
        <v>679</v>
      </c>
      <c r="G40" t="s">
        <v>680</v>
      </c>
      <c r="H40" t="s">
        <v>32</v>
      </c>
      <c r="I40" t="s">
        <v>24</v>
      </c>
      <c r="J40" t="s">
        <v>681</v>
      </c>
      <c r="K40" t="s">
        <v>682</v>
      </c>
      <c r="L40" t="s">
        <v>25</v>
      </c>
      <c r="M40" t="s">
        <v>740</v>
      </c>
      <c r="N40" t="s">
        <v>831</v>
      </c>
    </row>
    <row r="41" spans="1:14" x14ac:dyDescent="0.3">
      <c r="A41" t="s">
        <v>245</v>
      </c>
      <c r="B41" t="s">
        <v>246</v>
      </c>
      <c r="C41" s="3">
        <v>68</v>
      </c>
      <c r="D41" t="s">
        <v>247</v>
      </c>
      <c r="E41" t="s">
        <v>248</v>
      </c>
      <c r="F41" t="s">
        <v>249</v>
      </c>
      <c r="G41" t="s">
        <v>250</v>
      </c>
      <c r="H41" t="s">
        <v>32</v>
      </c>
      <c r="I41" t="s">
        <v>24</v>
      </c>
      <c r="J41" t="s">
        <v>251</v>
      </c>
      <c r="K41" t="s">
        <v>252</v>
      </c>
      <c r="L41" t="s">
        <v>25</v>
      </c>
      <c r="M41" t="s">
        <v>774</v>
      </c>
      <c r="N41" t="s">
        <v>831</v>
      </c>
    </row>
    <row r="42" spans="1:14" x14ac:dyDescent="0.3">
      <c r="A42" t="s">
        <v>330</v>
      </c>
      <c r="B42" t="s">
        <v>331</v>
      </c>
      <c r="C42" s="3">
        <v>63</v>
      </c>
      <c r="D42" t="s">
        <v>332</v>
      </c>
      <c r="E42" t="s">
        <v>333</v>
      </c>
      <c r="F42" t="s">
        <v>334</v>
      </c>
      <c r="G42" t="s">
        <v>335</v>
      </c>
      <c r="H42" t="s">
        <v>32</v>
      </c>
      <c r="I42" t="s">
        <v>24</v>
      </c>
      <c r="J42" t="s">
        <v>336</v>
      </c>
      <c r="K42" t="s">
        <v>337</v>
      </c>
      <c r="L42" t="s">
        <v>25</v>
      </c>
      <c r="M42" t="s">
        <v>809</v>
      </c>
      <c r="N42" t="s">
        <v>831</v>
      </c>
    </row>
    <row r="43" spans="1:14" x14ac:dyDescent="0.3">
      <c r="A43" t="s">
        <v>110</v>
      </c>
      <c r="B43" t="s">
        <v>111</v>
      </c>
      <c r="C43" s="3">
        <v>62</v>
      </c>
      <c r="D43" t="s">
        <v>112</v>
      </c>
      <c r="E43" t="s">
        <v>113</v>
      </c>
      <c r="F43" t="s">
        <v>114</v>
      </c>
      <c r="G43" t="s">
        <v>115</v>
      </c>
      <c r="H43" t="s">
        <v>32</v>
      </c>
      <c r="I43" t="s">
        <v>24</v>
      </c>
      <c r="J43" t="s">
        <v>116</v>
      </c>
      <c r="L43" t="s">
        <v>25</v>
      </c>
      <c r="M43" t="s">
        <v>825</v>
      </c>
      <c r="N43" t="s">
        <v>831</v>
      </c>
    </row>
    <row r="44" spans="1:14" x14ac:dyDescent="0.3">
      <c r="A44" t="s">
        <v>533</v>
      </c>
      <c r="B44" t="s">
        <v>534</v>
      </c>
      <c r="C44" s="3">
        <v>61</v>
      </c>
      <c r="D44" t="s">
        <v>535</v>
      </c>
      <c r="E44" t="s">
        <v>536</v>
      </c>
      <c r="F44" t="s">
        <v>537</v>
      </c>
      <c r="G44" t="s">
        <v>538</v>
      </c>
      <c r="H44" t="s">
        <v>32</v>
      </c>
      <c r="I44" t="s">
        <v>24</v>
      </c>
      <c r="J44" t="s">
        <v>539</v>
      </c>
      <c r="L44" t="s">
        <v>25</v>
      </c>
      <c r="M44" t="s">
        <v>750</v>
      </c>
      <c r="N44" t="s">
        <v>831</v>
      </c>
    </row>
    <row r="45" spans="1:14" x14ac:dyDescent="0.3">
      <c r="A45" t="s">
        <v>408</v>
      </c>
      <c r="B45" t="s">
        <v>409</v>
      </c>
      <c r="C45" s="3">
        <v>60</v>
      </c>
      <c r="D45" t="s">
        <v>410</v>
      </c>
      <c r="E45" t="s">
        <v>411</v>
      </c>
      <c r="F45" t="s">
        <v>412</v>
      </c>
      <c r="G45" t="s">
        <v>413</v>
      </c>
      <c r="H45" t="s">
        <v>32</v>
      </c>
      <c r="I45" t="s">
        <v>24</v>
      </c>
      <c r="J45" t="s">
        <v>414</v>
      </c>
      <c r="K45" t="s">
        <v>415</v>
      </c>
      <c r="L45" t="s">
        <v>25</v>
      </c>
      <c r="M45" t="s">
        <v>779</v>
      </c>
      <c r="N45" t="s">
        <v>831</v>
      </c>
    </row>
    <row r="46" spans="1:14" x14ac:dyDescent="0.3">
      <c r="A46" t="s">
        <v>210</v>
      </c>
      <c r="B46" t="s">
        <v>211</v>
      </c>
      <c r="C46" s="3">
        <v>57</v>
      </c>
      <c r="D46" t="s">
        <v>212</v>
      </c>
      <c r="E46" t="s">
        <v>213</v>
      </c>
      <c r="F46" t="s">
        <v>214</v>
      </c>
      <c r="G46" t="s">
        <v>215</v>
      </c>
      <c r="H46" t="s">
        <v>23</v>
      </c>
      <c r="I46" t="s">
        <v>24</v>
      </c>
      <c r="J46" t="s">
        <v>216</v>
      </c>
      <c r="L46" t="s">
        <v>25</v>
      </c>
      <c r="M46" t="s">
        <v>755</v>
      </c>
      <c r="N46" t="s">
        <v>829</v>
      </c>
    </row>
    <row r="47" spans="1:14" x14ac:dyDescent="0.3">
      <c r="A47" t="s">
        <v>455</v>
      </c>
      <c r="B47" t="s">
        <v>456</v>
      </c>
      <c r="C47" s="3">
        <v>51</v>
      </c>
      <c r="D47" t="s">
        <v>457</v>
      </c>
      <c r="E47" t="s">
        <v>458</v>
      </c>
      <c r="F47" t="s">
        <v>114</v>
      </c>
      <c r="G47" t="s">
        <v>115</v>
      </c>
      <c r="H47" t="s">
        <v>32</v>
      </c>
      <c r="I47" t="s">
        <v>24</v>
      </c>
      <c r="J47" t="s">
        <v>459</v>
      </c>
      <c r="L47" t="s">
        <v>25</v>
      </c>
      <c r="M47" t="s">
        <v>773</v>
      </c>
      <c r="N47" t="s">
        <v>830</v>
      </c>
    </row>
    <row r="48" spans="1:14" x14ac:dyDescent="0.3">
      <c r="A48" t="s">
        <v>576</v>
      </c>
      <c r="B48" t="s">
        <v>577</v>
      </c>
      <c r="C48" s="3">
        <v>46</v>
      </c>
      <c r="D48" t="s">
        <v>578</v>
      </c>
      <c r="E48" t="s">
        <v>579</v>
      </c>
      <c r="F48" t="s">
        <v>412</v>
      </c>
      <c r="G48" t="s">
        <v>413</v>
      </c>
      <c r="H48" t="s">
        <v>32</v>
      </c>
      <c r="I48" t="s">
        <v>24</v>
      </c>
      <c r="J48" t="s">
        <v>580</v>
      </c>
      <c r="K48" t="s">
        <v>581</v>
      </c>
      <c r="L48" t="s">
        <v>25</v>
      </c>
      <c r="M48" t="s">
        <v>803</v>
      </c>
      <c r="N48" t="s">
        <v>831</v>
      </c>
    </row>
    <row r="49" spans="1:14" x14ac:dyDescent="0.3">
      <c r="A49" t="s">
        <v>481</v>
      </c>
      <c r="B49" t="s">
        <v>482</v>
      </c>
      <c r="C49" s="3">
        <v>45</v>
      </c>
      <c r="D49" t="s">
        <v>483</v>
      </c>
      <c r="E49" t="s">
        <v>484</v>
      </c>
      <c r="F49" t="s">
        <v>485</v>
      </c>
      <c r="G49" t="s">
        <v>486</v>
      </c>
      <c r="H49" t="s">
        <v>32</v>
      </c>
      <c r="I49" t="s">
        <v>24</v>
      </c>
      <c r="J49" t="s">
        <v>487</v>
      </c>
      <c r="L49" t="s">
        <v>25</v>
      </c>
      <c r="M49" t="s">
        <v>757</v>
      </c>
      <c r="N49" t="s">
        <v>831</v>
      </c>
    </row>
    <row r="50" spans="1:14" x14ac:dyDescent="0.3">
      <c r="A50" t="s">
        <v>338</v>
      </c>
      <c r="B50" t="s">
        <v>339</v>
      </c>
      <c r="C50" s="5">
        <v>45</v>
      </c>
      <c r="D50" t="s">
        <v>340</v>
      </c>
      <c r="E50" t="s">
        <v>341</v>
      </c>
      <c r="F50" t="s">
        <v>47</v>
      </c>
      <c r="G50" t="s">
        <v>48</v>
      </c>
      <c r="H50" t="s">
        <v>32</v>
      </c>
      <c r="I50" t="s">
        <v>24</v>
      </c>
      <c r="L50" t="s">
        <v>25</v>
      </c>
      <c r="M50" t="s">
        <v>789</v>
      </c>
      <c r="N50" t="s">
        <v>831</v>
      </c>
    </row>
    <row r="51" spans="1:14" x14ac:dyDescent="0.3">
      <c r="A51" t="s">
        <v>288</v>
      </c>
      <c r="B51" t="s">
        <v>289</v>
      </c>
      <c r="C51" s="3">
        <v>44</v>
      </c>
      <c r="D51" t="s">
        <v>290</v>
      </c>
      <c r="E51" t="s">
        <v>291</v>
      </c>
      <c r="F51" t="s">
        <v>292</v>
      </c>
      <c r="G51" t="s">
        <v>293</v>
      </c>
      <c r="H51" t="s">
        <v>32</v>
      </c>
      <c r="I51" t="s">
        <v>24</v>
      </c>
      <c r="L51" t="s">
        <v>25</v>
      </c>
      <c r="M51" t="s">
        <v>813</v>
      </c>
      <c r="N51" t="s">
        <v>831</v>
      </c>
    </row>
    <row r="52" spans="1:14" x14ac:dyDescent="0.3">
      <c r="A52" t="s">
        <v>175</v>
      </c>
      <c r="B52" t="s">
        <v>176</v>
      </c>
      <c r="C52" s="3">
        <v>43</v>
      </c>
      <c r="D52" t="s">
        <v>177</v>
      </c>
      <c r="E52" t="s">
        <v>178</v>
      </c>
      <c r="F52" t="s">
        <v>179</v>
      </c>
      <c r="G52" t="s">
        <v>180</v>
      </c>
      <c r="H52" t="s">
        <v>23</v>
      </c>
      <c r="I52" t="s">
        <v>24</v>
      </c>
      <c r="L52" t="s">
        <v>25</v>
      </c>
      <c r="M52" t="s">
        <v>761</v>
      </c>
      <c r="N52" t="s">
        <v>830</v>
      </c>
    </row>
    <row r="53" spans="1:14" x14ac:dyDescent="0.3">
      <c r="A53" t="s">
        <v>441</v>
      </c>
      <c r="B53" t="s">
        <v>442</v>
      </c>
      <c r="C53" s="3">
        <v>41</v>
      </c>
      <c r="D53" t="s">
        <v>443</v>
      </c>
      <c r="E53" t="s">
        <v>444</v>
      </c>
      <c r="F53" t="s">
        <v>445</v>
      </c>
      <c r="G53" t="s">
        <v>446</v>
      </c>
      <c r="H53" t="s">
        <v>32</v>
      </c>
      <c r="I53" t="s">
        <v>24</v>
      </c>
      <c r="J53" t="s">
        <v>447</v>
      </c>
      <c r="K53" t="s">
        <v>448</v>
      </c>
      <c r="L53" t="s">
        <v>25</v>
      </c>
      <c r="M53" t="s">
        <v>773</v>
      </c>
      <c r="N53" t="s">
        <v>831</v>
      </c>
    </row>
    <row r="54" spans="1:14" x14ac:dyDescent="0.3">
      <c r="A54" t="s">
        <v>602</v>
      </c>
      <c r="B54" t="s">
        <v>603</v>
      </c>
      <c r="C54" s="3">
        <v>38</v>
      </c>
      <c r="D54" t="s">
        <v>604</v>
      </c>
      <c r="E54" t="s">
        <v>605</v>
      </c>
      <c r="F54" t="s">
        <v>606</v>
      </c>
      <c r="G54" t="s">
        <v>607</v>
      </c>
      <c r="H54" t="s">
        <v>32</v>
      </c>
      <c r="I54" t="s">
        <v>24</v>
      </c>
      <c r="J54" t="s">
        <v>608</v>
      </c>
      <c r="K54" t="s">
        <v>609</v>
      </c>
      <c r="L54" t="s">
        <v>25</v>
      </c>
      <c r="M54" t="s">
        <v>769</v>
      </c>
      <c r="N54" t="s">
        <v>831</v>
      </c>
    </row>
    <row r="55" spans="1:14" x14ac:dyDescent="0.3">
      <c r="A55" t="s">
        <v>701</v>
      </c>
      <c r="B55" t="s">
        <v>702</v>
      </c>
      <c r="C55" s="3">
        <v>38</v>
      </c>
      <c r="D55" t="s">
        <v>703</v>
      </c>
      <c r="E55" t="s">
        <v>704</v>
      </c>
      <c r="F55" t="s">
        <v>464</v>
      </c>
      <c r="G55" t="s">
        <v>465</v>
      </c>
      <c r="H55" t="s">
        <v>32</v>
      </c>
      <c r="I55" t="s">
        <v>24</v>
      </c>
      <c r="J55" t="s">
        <v>705</v>
      </c>
      <c r="K55" t="s">
        <v>706</v>
      </c>
      <c r="L55" t="s">
        <v>25</v>
      </c>
      <c r="M55" t="s">
        <v>800</v>
      </c>
      <c r="N55" t="s">
        <v>831</v>
      </c>
    </row>
    <row r="56" spans="1:14" x14ac:dyDescent="0.3">
      <c r="A56" t="s">
        <v>187</v>
      </c>
      <c r="B56" t="s">
        <v>188</v>
      </c>
      <c r="C56" s="3">
        <v>37</v>
      </c>
      <c r="D56" t="s">
        <v>189</v>
      </c>
      <c r="E56" t="s">
        <v>190</v>
      </c>
      <c r="F56" t="s">
        <v>191</v>
      </c>
      <c r="G56" t="s">
        <v>192</v>
      </c>
      <c r="H56" t="s">
        <v>32</v>
      </c>
      <c r="I56" t="s">
        <v>24</v>
      </c>
      <c r="J56" t="s">
        <v>193</v>
      </c>
      <c r="L56" t="s">
        <v>25</v>
      </c>
      <c r="M56" t="s">
        <v>787</v>
      </c>
      <c r="N56" t="s">
        <v>831</v>
      </c>
    </row>
    <row r="57" spans="1:14" ht="15" thickBot="1" x14ac:dyDescent="0.35">
      <c r="A57" t="s">
        <v>474</v>
      </c>
      <c r="B57" t="s">
        <v>475</v>
      </c>
      <c r="C57" s="3">
        <v>37</v>
      </c>
      <c r="D57" t="s">
        <v>476</v>
      </c>
      <c r="E57" t="s">
        <v>477</v>
      </c>
      <c r="F57" t="s">
        <v>478</v>
      </c>
      <c r="G57" t="s">
        <v>479</v>
      </c>
      <c r="H57" t="s">
        <v>23</v>
      </c>
      <c r="I57" t="s">
        <v>24</v>
      </c>
      <c r="J57" t="s">
        <v>480</v>
      </c>
      <c r="L57" t="s">
        <v>25</v>
      </c>
      <c r="M57" t="s">
        <v>778</v>
      </c>
      <c r="N57" t="s">
        <v>835</v>
      </c>
    </row>
    <row r="58" spans="1:14" ht="15" thickBot="1" x14ac:dyDescent="0.35">
      <c r="A58" t="s">
        <v>35</v>
      </c>
      <c r="B58" t="s">
        <v>36</v>
      </c>
      <c r="C58" s="6">
        <v>36</v>
      </c>
      <c r="D58" t="s">
        <v>37</v>
      </c>
      <c r="E58" t="s">
        <v>38</v>
      </c>
      <c r="F58" t="s">
        <v>39</v>
      </c>
      <c r="G58" t="s">
        <v>40</v>
      </c>
      <c r="H58" t="s">
        <v>23</v>
      </c>
      <c r="I58" t="s">
        <v>24</v>
      </c>
      <c r="J58" t="s">
        <v>41</v>
      </c>
      <c r="K58" t="s">
        <v>42</v>
      </c>
      <c r="L58" t="s">
        <v>25</v>
      </c>
      <c r="M58" t="s">
        <v>744</v>
      </c>
      <c r="N58" t="s">
        <v>830</v>
      </c>
    </row>
    <row r="59" spans="1:14" x14ac:dyDescent="0.3">
      <c r="A59" t="s">
        <v>518</v>
      </c>
      <c r="B59" t="s">
        <v>519</v>
      </c>
      <c r="C59" s="3">
        <v>36</v>
      </c>
      <c r="D59" t="s">
        <v>520</v>
      </c>
      <c r="E59" t="s">
        <v>333</v>
      </c>
      <c r="F59" t="s">
        <v>334</v>
      </c>
      <c r="G59" t="s">
        <v>335</v>
      </c>
      <c r="H59" t="s">
        <v>32</v>
      </c>
      <c r="I59" t="s">
        <v>24</v>
      </c>
      <c r="J59" t="s">
        <v>336</v>
      </c>
      <c r="K59" t="s">
        <v>337</v>
      </c>
      <c r="L59" t="s">
        <v>25</v>
      </c>
      <c r="M59" t="s">
        <v>798</v>
      </c>
      <c r="N59" t="s">
        <v>831</v>
      </c>
    </row>
    <row r="60" spans="1:14" x14ac:dyDescent="0.3">
      <c r="A60" t="s">
        <v>260</v>
      </c>
      <c r="B60" t="s">
        <v>261</v>
      </c>
      <c r="C60" s="3">
        <v>36</v>
      </c>
      <c r="D60" t="s">
        <v>262</v>
      </c>
      <c r="E60" t="s">
        <v>263</v>
      </c>
      <c r="F60" t="s">
        <v>264</v>
      </c>
      <c r="G60" t="s">
        <v>265</v>
      </c>
      <c r="H60" t="s">
        <v>32</v>
      </c>
      <c r="I60" t="s">
        <v>24</v>
      </c>
      <c r="J60" t="s">
        <v>266</v>
      </c>
      <c r="L60" t="s">
        <v>25</v>
      </c>
      <c r="M60" t="s">
        <v>806</v>
      </c>
      <c r="N60" t="s">
        <v>830</v>
      </c>
    </row>
    <row r="61" spans="1:14" x14ac:dyDescent="0.3">
      <c r="A61" t="s">
        <v>117</v>
      </c>
      <c r="B61" t="s">
        <v>118</v>
      </c>
      <c r="C61" s="3">
        <v>36</v>
      </c>
      <c r="D61" t="s">
        <v>119</v>
      </c>
      <c r="E61" t="s">
        <v>120</v>
      </c>
      <c r="F61" t="s">
        <v>121</v>
      </c>
      <c r="G61" t="s">
        <v>122</v>
      </c>
      <c r="H61" t="s">
        <v>32</v>
      </c>
      <c r="I61" t="s">
        <v>24</v>
      </c>
      <c r="J61" t="s">
        <v>123</v>
      </c>
      <c r="L61" t="s">
        <v>25</v>
      </c>
      <c r="M61" t="s">
        <v>820</v>
      </c>
      <c r="N61" t="s">
        <v>831</v>
      </c>
    </row>
    <row r="62" spans="1:14" x14ac:dyDescent="0.3">
      <c r="A62" t="s">
        <v>253</v>
      </c>
      <c r="B62" t="s">
        <v>254</v>
      </c>
      <c r="C62" s="3">
        <v>35</v>
      </c>
      <c r="D62" t="s">
        <v>255</v>
      </c>
      <c r="E62" t="s">
        <v>256</v>
      </c>
      <c r="F62" t="s">
        <v>257</v>
      </c>
      <c r="G62" t="s">
        <v>258</v>
      </c>
      <c r="H62" t="s">
        <v>23</v>
      </c>
      <c r="I62" t="s">
        <v>24</v>
      </c>
      <c r="K62" t="s">
        <v>259</v>
      </c>
      <c r="L62" t="s">
        <v>25</v>
      </c>
      <c r="M62" t="s">
        <v>807</v>
      </c>
      <c r="N62" t="s">
        <v>831</v>
      </c>
    </row>
    <row r="63" spans="1:14" x14ac:dyDescent="0.3">
      <c r="A63" t="s">
        <v>636</v>
      </c>
      <c r="B63" t="s">
        <v>637</v>
      </c>
      <c r="C63" s="3">
        <v>34</v>
      </c>
      <c r="D63" t="s">
        <v>638</v>
      </c>
      <c r="E63" t="s">
        <v>639</v>
      </c>
      <c r="F63" t="s">
        <v>640</v>
      </c>
      <c r="G63" t="s">
        <v>641</v>
      </c>
      <c r="H63" t="s">
        <v>32</v>
      </c>
      <c r="I63" t="s">
        <v>24</v>
      </c>
      <c r="J63" t="s">
        <v>642</v>
      </c>
      <c r="K63" t="s">
        <v>643</v>
      </c>
      <c r="L63" t="s">
        <v>25</v>
      </c>
      <c r="M63" t="s">
        <v>811</v>
      </c>
      <c r="N63" t="s">
        <v>831</v>
      </c>
    </row>
    <row r="64" spans="1:14" x14ac:dyDescent="0.3">
      <c r="A64" t="s">
        <v>561</v>
      </c>
      <c r="B64" t="s">
        <v>562</v>
      </c>
      <c r="C64" s="3">
        <v>34</v>
      </c>
      <c r="D64" t="s">
        <v>563</v>
      </c>
      <c r="E64" t="s">
        <v>564</v>
      </c>
      <c r="F64" t="s">
        <v>565</v>
      </c>
      <c r="G64" t="s">
        <v>566</v>
      </c>
      <c r="H64" t="s">
        <v>32</v>
      </c>
      <c r="I64" t="s">
        <v>24</v>
      </c>
      <c r="J64" t="s">
        <v>567</v>
      </c>
      <c r="L64" t="s">
        <v>25</v>
      </c>
      <c r="M64" t="s">
        <v>816</v>
      </c>
      <c r="N64" t="s">
        <v>831</v>
      </c>
    </row>
    <row r="65" spans="1:14" x14ac:dyDescent="0.3">
      <c r="A65" t="s">
        <v>267</v>
      </c>
      <c r="B65" t="s">
        <v>268</v>
      </c>
      <c r="C65" s="3">
        <v>33</v>
      </c>
      <c r="D65" t="s">
        <v>269</v>
      </c>
      <c r="E65" t="s">
        <v>270</v>
      </c>
      <c r="F65" t="s">
        <v>271</v>
      </c>
      <c r="G65" t="s">
        <v>272</v>
      </c>
      <c r="H65" t="s">
        <v>32</v>
      </c>
      <c r="I65" t="s">
        <v>24</v>
      </c>
      <c r="J65" t="s">
        <v>273</v>
      </c>
      <c r="L65" t="s">
        <v>25</v>
      </c>
      <c r="M65" t="s">
        <v>760</v>
      </c>
      <c r="N65" t="s">
        <v>830</v>
      </c>
    </row>
    <row r="66" spans="1:14" x14ac:dyDescent="0.3">
      <c r="A66" t="s">
        <v>434</v>
      </c>
      <c r="B66" t="s">
        <v>435</v>
      </c>
      <c r="C66" s="3">
        <v>33</v>
      </c>
      <c r="D66" t="s">
        <v>436</v>
      </c>
      <c r="E66" t="s">
        <v>437</v>
      </c>
      <c r="F66" t="s">
        <v>438</v>
      </c>
      <c r="G66" t="s">
        <v>439</v>
      </c>
      <c r="H66" t="s">
        <v>32</v>
      </c>
      <c r="I66" t="s">
        <v>24</v>
      </c>
      <c r="J66" t="s">
        <v>440</v>
      </c>
      <c r="L66" t="s">
        <v>25</v>
      </c>
      <c r="M66" t="s">
        <v>815</v>
      </c>
      <c r="N66" t="s">
        <v>835</v>
      </c>
    </row>
    <row r="67" spans="1:14" x14ac:dyDescent="0.3">
      <c r="A67" t="s">
        <v>274</v>
      </c>
      <c r="B67" t="s">
        <v>275</v>
      </c>
      <c r="C67" s="3">
        <v>32</v>
      </c>
      <c r="D67" t="s">
        <v>276</v>
      </c>
      <c r="E67" t="s">
        <v>277</v>
      </c>
      <c r="F67" t="s">
        <v>278</v>
      </c>
      <c r="G67" t="s">
        <v>279</v>
      </c>
      <c r="H67" t="s">
        <v>23</v>
      </c>
      <c r="I67" t="s">
        <v>24</v>
      </c>
      <c r="J67" t="s">
        <v>280</v>
      </c>
      <c r="L67" t="s">
        <v>25</v>
      </c>
      <c r="M67" t="s">
        <v>793</v>
      </c>
      <c r="N67" t="s">
        <v>830</v>
      </c>
    </row>
    <row r="68" spans="1:14" x14ac:dyDescent="0.3">
      <c r="A68" t="s">
        <v>309</v>
      </c>
      <c r="B68" t="s">
        <v>310</v>
      </c>
      <c r="C68" s="3">
        <v>32</v>
      </c>
      <c r="D68" t="s">
        <v>311</v>
      </c>
      <c r="E68" t="s">
        <v>312</v>
      </c>
      <c r="F68" t="s">
        <v>55</v>
      </c>
      <c r="G68" t="s">
        <v>56</v>
      </c>
      <c r="H68" t="s">
        <v>32</v>
      </c>
      <c r="I68" t="s">
        <v>24</v>
      </c>
      <c r="J68" t="s">
        <v>313</v>
      </c>
      <c r="L68" t="s">
        <v>25</v>
      </c>
      <c r="M68" t="s">
        <v>759</v>
      </c>
      <c r="N68" t="s">
        <v>831</v>
      </c>
    </row>
    <row r="69" spans="1:14" x14ac:dyDescent="0.3">
      <c r="A69" t="s">
        <v>81</v>
      </c>
      <c r="B69" t="s">
        <v>82</v>
      </c>
      <c r="C69" s="3">
        <v>31</v>
      </c>
      <c r="D69" t="s">
        <v>83</v>
      </c>
      <c r="E69" t="s">
        <v>84</v>
      </c>
      <c r="F69" t="s">
        <v>85</v>
      </c>
      <c r="G69" t="s">
        <v>86</v>
      </c>
      <c r="H69" t="s">
        <v>23</v>
      </c>
      <c r="I69" t="s">
        <v>24</v>
      </c>
      <c r="J69" t="s">
        <v>87</v>
      </c>
      <c r="K69" t="s">
        <v>88</v>
      </c>
      <c r="L69" t="s">
        <v>25</v>
      </c>
      <c r="M69" t="s">
        <v>756</v>
      </c>
      <c r="N69" t="s">
        <v>835</v>
      </c>
    </row>
    <row r="70" spans="1:14" x14ac:dyDescent="0.3">
      <c r="A70" t="s">
        <v>423</v>
      </c>
      <c r="B70" t="s">
        <v>424</v>
      </c>
      <c r="C70" s="3">
        <v>29</v>
      </c>
      <c r="D70" t="s">
        <v>425</v>
      </c>
      <c r="E70" t="s">
        <v>426</v>
      </c>
      <c r="F70" t="s">
        <v>214</v>
      </c>
      <c r="G70" t="s">
        <v>215</v>
      </c>
      <c r="H70" t="s">
        <v>32</v>
      </c>
      <c r="I70" t="s">
        <v>24</v>
      </c>
      <c r="L70" t="s">
        <v>25</v>
      </c>
      <c r="M70" t="s">
        <v>746</v>
      </c>
      <c r="N70" t="s">
        <v>834</v>
      </c>
    </row>
    <row r="71" spans="1:14" x14ac:dyDescent="0.3">
      <c r="A71" t="s">
        <v>644</v>
      </c>
      <c r="B71" t="s">
        <v>645</v>
      </c>
      <c r="C71" s="3">
        <v>29</v>
      </c>
      <c r="D71" t="s">
        <v>646</v>
      </c>
      <c r="E71" t="s">
        <v>647</v>
      </c>
      <c r="F71" t="s">
        <v>648</v>
      </c>
      <c r="G71" t="s">
        <v>649</v>
      </c>
      <c r="H71" t="s">
        <v>32</v>
      </c>
      <c r="I71" t="s">
        <v>24</v>
      </c>
      <c r="J71" t="s">
        <v>650</v>
      </c>
      <c r="L71" t="s">
        <v>25</v>
      </c>
      <c r="M71" t="s">
        <v>826</v>
      </c>
      <c r="N71" t="s">
        <v>831</v>
      </c>
    </row>
    <row r="72" spans="1:14" x14ac:dyDescent="0.3">
      <c r="A72" t="s">
        <v>582</v>
      </c>
      <c r="B72" t="s">
        <v>583</v>
      </c>
      <c r="C72" s="3">
        <v>28</v>
      </c>
      <c r="D72" t="s">
        <v>584</v>
      </c>
      <c r="E72" t="s">
        <v>585</v>
      </c>
      <c r="F72" t="s">
        <v>586</v>
      </c>
      <c r="G72" t="s">
        <v>587</v>
      </c>
      <c r="H72" t="s">
        <v>23</v>
      </c>
      <c r="I72" t="s">
        <v>24</v>
      </c>
      <c r="J72" t="s">
        <v>588</v>
      </c>
      <c r="K72" t="s">
        <v>589</v>
      </c>
      <c r="L72" t="s">
        <v>25</v>
      </c>
      <c r="M72" t="s">
        <v>762</v>
      </c>
      <c r="N72" t="s">
        <v>830</v>
      </c>
    </row>
    <row r="73" spans="1:14" x14ac:dyDescent="0.3">
      <c r="A73" t="s">
        <v>427</v>
      </c>
      <c r="B73" t="s">
        <v>428</v>
      </c>
      <c r="C73" s="3">
        <v>28</v>
      </c>
      <c r="D73" t="s">
        <v>429</v>
      </c>
      <c r="E73" t="s">
        <v>430</v>
      </c>
      <c r="F73" t="s">
        <v>431</v>
      </c>
      <c r="G73" t="s">
        <v>432</v>
      </c>
      <c r="H73" t="s">
        <v>32</v>
      </c>
      <c r="I73" t="s">
        <v>24</v>
      </c>
      <c r="J73" t="s">
        <v>433</v>
      </c>
      <c r="L73" t="s">
        <v>25</v>
      </c>
      <c r="M73" t="s">
        <v>781</v>
      </c>
      <c r="N73" t="s">
        <v>831</v>
      </c>
    </row>
    <row r="74" spans="1:14" x14ac:dyDescent="0.3">
      <c r="A74" t="s">
        <v>67</v>
      </c>
      <c r="B74" t="s">
        <v>68</v>
      </c>
      <c r="C74" s="3">
        <v>27</v>
      </c>
      <c r="D74" t="s">
        <v>69</v>
      </c>
      <c r="E74" t="s">
        <v>70</v>
      </c>
      <c r="F74" t="s">
        <v>71</v>
      </c>
      <c r="G74" t="s">
        <v>72</v>
      </c>
      <c r="H74" t="s">
        <v>32</v>
      </c>
      <c r="I74" t="s">
        <v>24</v>
      </c>
      <c r="J74" t="s">
        <v>73</v>
      </c>
      <c r="L74" t="s">
        <v>25</v>
      </c>
      <c r="M74" t="s">
        <v>741</v>
      </c>
      <c r="N74" t="s">
        <v>832</v>
      </c>
    </row>
    <row r="75" spans="1:14" x14ac:dyDescent="0.3">
      <c r="A75" t="s">
        <v>689</v>
      </c>
      <c r="B75" t="s">
        <v>690</v>
      </c>
      <c r="C75" s="3">
        <v>27</v>
      </c>
      <c r="D75" t="s">
        <v>691</v>
      </c>
      <c r="E75" t="s">
        <v>692</v>
      </c>
      <c r="F75" t="s">
        <v>185</v>
      </c>
      <c r="G75" t="s">
        <v>186</v>
      </c>
      <c r="H75" t="s">
        <v>32</v>
      </c>
      <c r="I75" t="s">
        <v>24</v>
      </c>
      <c r="J75" t="s">
        <v>693</v>
      </c>
      <c r="L75" t="s">
        <v>25</v>
      </c>
      <c r="M75" t="s">
        <v>791</v>
      </c>
      <c r="N75" t="s">
        <v>831</v>
      </c>
    </row>
    <row r="76" spans="1:14" x14ac:dyDescent="0.3">
      <c r="A76" t="s">
        <v>232</v>
      </c>
      <c r="B76" t="s">
        <v>233</v>
      </c>
      <c r="C76" s="3">
        <v>26</v>
      </c>
      <c r="D76" t="s">
        <v>234</v>
      </c>
      <c r="E76" t="s">
        <v>235</v>
      </c>
      <c r="F76" t="s">
        <v>85</v>
      </c>
      <c r="G76" t="s">
        <v>86</v>
      </c>
      <c r="H76" t="s">
        <v>32</v>
      </c>
      <c r="I76" t="s">
        <v>24</v>
      </c>
      <c r="J76" t="s">
        <v>236</v>
      </c>
      <c r="L76" t="s">
        <v>25</v>
      </c>
      <c r="M76" t="s">
        <v>790</v>
      </c>
      <c r="N76" t="s">
        <v>831</v>
      </c>
    </row>
    <row r="77" spans="1:14" x14ac:dyDescent="0.3">
      <c r="A77" t="s">
        <v>153</v>
      </c>
      <c r="B77" t="s">
        <v>154</v>
      </c>
      <c r="C77" s="3">
        <v>23</v>
      </c>
      <c r="D77" t="s">
        <v>155</v>
      </c>
      <c r="E77" t="s">
        <v>156</v>
      </c>
      <c r="F77" t="s">
        <v>157</v>
      </c>
      <c r="G77" t="s">
        <v>158</v>
      </c>
      <c r="H77" t="s">
        <v>32</v>
      </c>
      <c r="I77" t="s">
        <v>24</v>
      </c>
      <c r="K77" t="s">
        <v>159</v>
      </c>
      <c r="L77" t="s">
        <v>25</v>
      </c>
      <c r="M77" t="s">
        <v>742</v>
      </c>
      <c r="N77" t="s">
        <v>831</v>
      </c>
    </row>
    <row r="78" spans="1:14" x14ac:dyDescent="0.3">
      <c r="A78" t="s">
        <v>488</v>
      </c>
      <c r="B78" t="s">
        <v>489</v>
      </c>
      <c r="C78" s="3">
        <v>23</v>
      </c>
      <c r="D78" t="s">
        <v>490</v>
      </c>
      <c r="E78" t="s">
        <v>491</v>
      </c>
      <c r="F78" t="s">
        <v>492</v>
      </c>
      <c r="G78" t="s">
        <v>493</v>
      </c>
      <c r="H78" t="s">
        <v>32</v>
      </c>
      <c r="I78" t="s">
        <v>24</v>
      </c>
      <c r="J78" t="s">
        <v>494</v>
      </c>
      <c r="K78" t="s">
        <v>495</v>
      </c>
      <c r="L78" t="s">
        <v>25</v>
      </c>
      <c r="M78" t="s">
        <v>762</v>
      </c>
      <c r="N78" t="s">
        <v>830</v>
      </c>
    </row>
    <row r="79" spans="1:14" x14ac:dyDescent="0.3">
      <c r="A79" t="s">
        <v>281</v>
      </c>
      <c r="B79" t="s">
        <v>282</v>
      </c>
      <c r="C79" s="3">
        <v>23</v>
      </c>
      <c r="D79" t="s">
        <v>283</v>
      </c>
      <c r="E79" t="s">
        <v>284</v>
      </c>
      <c r="F79" t="s">
        <v>285</v>
      </c>
      <c r="G79" t="s">
        <v>286</v>
      </c>
      <c r="H79" t="s">
        <v>23</v>
      </c>
      <c r="I79" t="s">
        <v>24</v>
      </c>
      <c r="J79" t="s">
        <v>287</v>
      </c>
      <c r="L79" t="s">
        <v>25</v>
      </c>
      <c r="M79" t="s">
        <v>812</v>
      </c>
      <c r="N79" t="s">
        <v>830</v>
      </c>
    </row>
    <row r="80" spans="1:14" x14ac:dyDescent="0.3">
      <c r="A80" t="s">
        <v>145</v>
      </c>
      <c r="B80" t="s">
        <v>146</v>
      </c>
      <c r="C80" s="3">
        <v>22</v>
      </c>
      <c r="D80" t="s">
        <v>147</v>
      </c>
      <c r="E80" t="s">
        <v>148</v>
      </c>
      <c r="F80" t="s">
        <v>149</v>
      </c>
      <c r="G80" t="s">
        <v>150</v>
      </c>
      <c r="H80" t="s">
        <v>23</v>
      </c>
      <c r="I80" t="s">
        <v>24</v>
      </c>
      <c r="J80" t="s">
        <v>151</v>
      </c>
      <c r="K80" t="s">
        <v>152</v>
      </c>
      <c r="L80" t="s">
        <v>25</v>
      </c>
      <c r="M80" t="s">
        <v>796</v>
      </c>
      <c r="N80" t="s">
        <v>835</v>
      </c>
    </row>
    <row r="81" spans="1:14" x14ac:dyDescent="0.3">
      <c r="A81" t="s">
        <v>225</v>
      </c>
      <c r="B81" t="s">
        <v>226</v>
      </c>
      <c r="C81" s="3">
        <v>21</v>
      </c>
      <c r="D81" t="s">
        <v>227</v>
      </c>
      <c r="E81" t="s">
        <v>228</v>
      </c>
      <c r="F81" t="s">
        <v>229</v>
      </c>
      <c r="G81" t="s">
        <v>230</v>
      </c>
      <c r="H81" t="s">
        <v>32</v>
      </c>
      <c r="I81" t="s">
        <v>24</v>
      </c>
      <c r="J81" t="s">
        <v>231</v>
      </c>
      <c r="L81" t="s">
        <v>25</v>
      </c>
      <c r="M81" t="s">
        <v>748</v>
      </c>
      <c r="N81" t="s">
        <v>830</v>
      </c>
    </row>
    <row r="82" spans="1:14" x14ac:dyDescent="0.3">
      <c r="A82" t="s">
        <v>622</v>
      </c>
      <c r="B82" t="s">
        <v>623</v>
      </c>
      <c r="C82" s="3">
        <v>21</v>
      </c>
      <c r="D82" t="s">
        <v>624</v>
      </c>
      <c r="E82" t="s">
        <v>625</v>
      </c>
      <c r="F82" t="s">
        <v>626</v>
      </c>
      <c r="G82" t="s">
        <v>627</v>
      </c>
      <c r="H82" t="s">
        <v>32</v>
      </c>
      <c r="I82" t="s">
        <v>24</v>
      </c>
      <c r="J82" t="s">
        <v>628</v>
      </c>
      <c r="L82" t="s">
        <v>25</v>
      </c>
      <c r="M82" t="s">
        <v>764</v>
      </c>
      <c r="N82" t="s">
        <v>831</v>
      </c>
    </row>
    <row r="83" spans="1:14" x14ac:dyDescent="0.3">
      <c r="A83" t="s">
        <v>711</v>
      </c>
      <c r="B83" t="s">
        <v>712</v>
      </c>
      <c r="C83" s="3">
        <v>20</v>
      </c>
      <c r="D83" t="s">
        <v>713</v>
      </c>
      <c r="E83" t="s">
        <v>714</v>
      </c>
      <c r="F83" t="s">
        <v>715</v>
      </c>
      <c r="G83" t="s">
        <v>716</v>
      </c>
      <c r="H83" t="s">
        <v>23</v>
      </c>
      <c r="I83" t="s">
        <v>24</v>
      </c>
      <c r="L83" t="s">
        <v>25</v>
      </c>
      <c r="M83" t="s">
        <v>770</v>
      </c>
      <c r="N83" t="s">
        <v>831</v>
      </c>
    </row>
    <row r="84" spans="1:14" x14ac:dyDescent="0.3">
      <c r="A84" t="s">
        <v>314</v>
      </c>
      <c r="B84" t="s">
        <v>315</v>
      </c>
      <c r="C84" s="3">
        <v>20</v>
      </c>
      <c r="D84" t="s">
        <v>316</v>
      </c>
      <c r="E84" t="s">
        <v>317</v>
      </c>
      <c r="F84" t="s">
        <v>318</v>
      </c>
      <c r="G84" t="s">
        <v>319</v>
      </c>
      <c r="H84" t="s">
        <v>32</v>
      </c>
      <c r="I84" t="s">
        <v>24</v>
      </c>
      <c r="J84" t="s">
        <v>320</v>
      </c>
      <c r="K84" t="s">
        <v>321</v>
      </c>
      <c r="L84" t="s">
        <v>25</v>
      </c>
      <c r="M84" t="s">
        <v>782</v>
      </c>
      <c r="N84" t="s">
        <v>830</v>
      </c>
    </row>
    <row r="85" spans="1:14" x14ac:dyDescent="0.3">
      <c r="A85" t="s">
        <v>707</v>
      </c>
      <c r="B85" t="s">
        <v>708</v>
      </c>
      <c r="C85" s="3">
        <v>19</v>
      </c>
      <c r="D85" t="s">
        <v>709</v>
      </c>
      <c r="E85" t="s">
        <v>710</v>
      </c>
      <c r="F85" t="s">
        <v>334</v>
      </c>
      <c r="G85" t="s">
        <v>335</v>
      </c>
      <c r="H85" t="s">
        <v>32</v>
      </c>
      <c r="I85" t="s">
        <v>24</v>
      </c>
      <c r="L85" t="s">
        <v>25</v>
      </c>
      <c r="M85" t="s">
        <v>758</v>
      </c>
      <c r="N85" t="s">
        <v>831</v>
      </c>
    </row>
    <row r="86" spans="1:14" x14ac:dyDescent="0.3">
      <c r="A86" t="s">
        <v>404</v>
      </c>
      <c r="B86" t="s">
        <v>405</v>
      </c>
      <c r="C86" s="3">
        <v>19</v>
      </c>
      <c r="D86" t="s">
        <v>406</v>
      </c>
      <c r="E86" t="s">
        <v>407</v>
      </c>
      <c r="F86" t="s">
        <v>128</v>
      </c>
      <c r="G86" t="s">
        <v>129</v>
      </c>
      <c r="H86" t="s">
        <v>32</v>
      </c>
      <c r="I86" t="s">
        <v>24</v>
      </c>
      <c r="L86" t="s">
        <v>25</v>
      </c>
      <c r="M86" t="s">
        <v>785</v>
      </c>
      <c r="N86" t="s">
        <v>830</v>
      </c>
    </row>
    <row r="87" spans="1:14" x14ac:dyDescent="0.3">
      <c r="A87" t="s">
        <v>89</v>
      </c>
      <c r="B87" t="s">
        <v>90</v>
      </c>
      <c r="C87" s="3">
        <v>18</v>
      </c>
      <c r="D87" t="s">
        <v>91</v>
      </c>
      <c r="E87" t="s">
        <v>92</v>
      </c>
      <c r="F87" t="s">
        <v>93</v>
      </c>
      <c r="G87" t="s">
        <v>94</v>
      </c>
      <c r="H87" t="s">
        <v>23</v>
      </c>
      <c r="I87" t="s">
        <v>24</v>
      </c>
      <c r="L87" t="s">
        <v>25</v>
      </c>
      <c r="M87" t="s">
        <v>776</v>
      </c>
      <c r="N87" t="s">
        <v>835</v>
      </c>
    </row>
    <row r="88" spans="1:14" x14ac:dyDescent="0.3">
      <c r="A88" t="s">
        <v>369</v>
      </c>
      <c r="B88" t="s">
        <v>370</v>
      </c>
      <c r="C88" s="3">
        <v>18</v>
      </c>
      <c r="D88" t="s">
        <v>371</v>
      </c>
      <c r="E88" t="s">
        <v>372</v>
      </c>
      <c r="F88" t="s">
        <v>373</v>
      </c>
      <c r="G88" t="s">
        <v>374</v>
      </c>
      <c r="H88" t="s">
        <v>32</v>
      </c>
      <c r="I88" t="s">
        <v>24</v>
      </c>
      <c r="L88" t="s">
        <v>25</v>
      </c>
      <c r="M88" t="s">
        <v>792</v>
      </c>
      <c r="N88" t="s">
        <v>833</v>
      </c>
    </row>
    <row r="89" spans="1:14" x14ac:dyDescent="0.3">
      <c r="A89" t="s">
        <v>204</v>
      </c>
      <c r="B89" t="s">
        <v>205</v>
      </c>
      <c r="C89" s="3">
        <v>18</v>
      </c>
      <c r="D89" t="s">
        <v>206</v>
      </c>
      <c r="E89" t="s">
        <v>207</v>
      </c>
      <c r="F89" t="s">
        <v>208</v>
      </c>
      <c r="G89" t="s">
        <v>209</v>
      </c>
      <c r="H89" t="s">
        <v>32</v>
      </c>
      <c r="I89" t="s">
        <v>24</v>
      </c>
      <c r="L89" t="s">
        <v>25</v>
      </c>
      <c r="M89" t="s">
        <v>794</v>
      </c>
      <c r="N89" t="s">
        <v>831</v>
      </c>
    </row>
    <row r="90" spans="1:14" x14ac:dyDescent="0.3">
      <c r="A90" t="s">
        <v>594</v>
      </c>
      <c r="B90" t="s">
        <v>595</v>
      </c>
      <c r="C90" s="3">
        <v>18</v>
      </c>
      <c r="D90" t="s">
        <v>596</v>
      </c>
      <c r="E90" t="s">
        <v>597</v>
      </c>
      <c r="F90" t="s">
        <v>598</v>
      </c>
      <c r="G90" t="s">
        <v>599</v>
      </c>
      <c r="H90" t="s">
        <v>32</v>
      </c>
      <c r="I90" t="s">
        <v>24</v>
      </c>
      <c r="J90" t="s">
        <v>600</v>
      </c>
      <c r="K90" t="s">
        <v>601</v>
      </c>
      <c r="L90" t="s">
        <v>25</v>
      </c>
      <c r="M90" t="s">
        <v>802</v>
      </c>
      <c r="N90" t="s">
        <v>831</v>
      </c>
    </row>
    <row r="91" spans="1:14" x14ac:dyDescent="0.3">
      <c r="A91" t="s">
        <v>496</v>
      </c>
      <c r="B91" t="s">
        <v>497</v>
      </c>
      <c r="C91" s="3">
        <v>18</v>
      </c>
      <c r="D91" t="s">
        <v>498</v>
      </c>
      <c r="E91" t="s">
        <v>499</v>
      </c>
      <c r="F91" t="s">
        <v>485</v>
      </c>
      <c r="G91" t="s">
        <v>486</v>
      </c>
      <c r="H91" t="s">
        <v>32</v>
      </c>
      <c r="I91" t="s">
        <v>24</v>
      </c>
      <c r="L91" t="s">
        <v>25</v>
      </c>
      <c r="M91" t="s">
        <v>760</v>
      </c>
      <c r="N91" t="s">
        <v>831</v>
      </c>
    </row>
    <row r="92" spans="1:14" x14ac:dyDescent="0.3">
      <c r="A92" t="s">
        <v>555</v>
      </c>
      <c r="B92" t="s">
        <v>556</v>
      </c>
      <c r="C92" s="3">
        <v>17</v>
      </c>
      <c r="D92" t="s">
        <v>557</v>
      </c>
      <c r="E92" t="s">
        <v>558</v>
      </c>
      <c r="F92" t="s">
        <v>99</v>
      </c>
      <c r="G92" t="s">
        <v>100</v>
      </c>
      <c r="H92" t="s">
        <v>32</v>
      </c>
      <c r="I92" t="s">
        <v>24</v>
      </c>
      <c r="J92" t="s">
        <v>559</v>
      </c>
      <c r="K92" t="s">
        <v>560</v>
      </c>
      <c r="L92" t="s">
        <v>25</v>
      </c>
      <c r="M92" t="s">
        <v>784</v>
      </c>
      <c r="N92" t="s">
        <v>831</v>
      </c>
    </row>
    <row r="93" spans="1:14" x14ac:dyDescent="0.3">
      <c r="A93" t="s">
        <v>194</v>
      </c>
      <c r="B93" t="s">
        <v>195</v>
      </c>
      <c r="C93" s="3">
        <v>17</v>
      </c>
      <c r="D93" t="s">
        <v>196</v>
      </c>
      <c r="E93" t="s">
        <v>197</v>
      </c>
      <c r="F93" t="s">
        <v>198</v>
      </c>
      <c r="G93" t="s">
        <v>199</v>
      </c>
      <c r="H93" t="s">
        <v>32</v>
      </c>
      <c r="I93" t="s">
        <v>24</v>
      </c>
      <c r="L93" t="s">
        <v>25</v>
      </c>
      <c r="M93" t="s">
        <v>788</v>
      </c>
      <c r="N93" t="s">
        <v>831</v>
      </c>
    </row>
    <row r="94" spans="1:14" x14ac:dyDescent="0.3">
      <c r="A94" t="s">
        <v>322</v>
      </c>
      <c r="B94" t="s">
        <v>323</v>
      </c>
      <c r="C94" s="3">
        <v>17</v>
      </c>
      <c r="D94" t="s">
        <v>324</v>
      </c>
      <c r="E94" t="s">
        <v>325</v>
      </c>
      <c r="F94" t="s">
        <v>326</v>
      </c>
      <c r="G94" t="s">
        <v>327</v>
      </c>
      <c r="H94" t="s">
        <v>32</v>
      </c>
      <c r="I94" t="s">
        <v>24</v>
      </c>
      <c r="J94" t="s">
        <v>328</v>
      </c>
      <c r="K94" t="s">
        <v>329</v>
      </c>
      <c r="L94" t="s">
        <v>25</v>
      </c>
      <c r="M94" t="s">
        <v>790</v>
      </c>
      <c r="N94" t="s">
        <v>831</v>
      </c>
    </row>
    <row r="95" spans="1:14" x14ac:dyDescent="0.3">
      <c r="A95" t="s">
        <v>237</v>
      </c>
      <c r="B95" t="s">
        <v>238</v>
      </c>
      <c r="C95" s="3">
        <v>16</v>
      </c>
      <c r="D95" t="s">
        <v>239</v>
      </c>
      <c r="E95" t="s">
        <v>240</v>
      </c>
      <c r="F95" t="s">
        <v>241</v>
      </c>
      <c r="G95" t="s">
        <v>242</v>
      </c>
      <c r="H95" t="s">
        <v>32</v>
      </c>
      <c r="I95" t="s">
        <v>24</v>
      </c>
      <c r="J95" t="s">
        <v>243</v>
      </c>
      <c r="K95" t="s">
        <v>244</v>
      </c>
      <c r="L95" t="s">
        <v>25</v>
      </c>
      <c r="M95" t="s">
        <v>823</v>
      </c>
      <c r="N95" t="s">
        <v>833</v>
      </c>
    </row>
    <row r="96" spans="1:14" x14ac:dyDescent="0.3">
      <c r="A96" t="s">
        <v>629</v>
      </c>
      <c r="B96" t="s">
        <v>630</v>
      </c>
      <c r="C96" s="3">
        <v>15</v>
      </c>
      <c r="D96" t="s">
        <v>631</v>
      </c>
      <c r="E96" t="s">
        <v>632</v>
      </c>
      <c r="F96" t="s">
        <v>633</v>
      </c>
      <c r="G96" t="s">
        <v>634</v>
      </c>
      <c r="H96" t="s">
        <v>32</v>
      </c>
      <c r="I96" t="s">
        <v>24</v>
      </c>
      <c r="J96" t="s">
        <v>635</v>
      </c>
      <c r="L96" t="s">
        <v>25</v>
      </c>
      <c r="M96" t="s">
        <v>822</v>
      </c>
      <c r="N96" t="s">
        <v>831</v>
      </c>
    </row>
    <row r="97" spans="1:14" x14ac:dyDescent="0.3">
      <c r="A97" t="s">
        <v>548</v>
      </c>
      <c r="B97" t="s">
        <v>549</v>
      </c>
      <c r="C97" s="3">
        <v>14</v>
      </c>
      <c r="D97" t="s">
        <v>550</v>
      </c>
      <c r="E97" t="s">
        <v>551</v>
      </c>
      <c r="F97" t="s">
        <v>552</v>
      </c>
      <c r="G97" t="s">
        <v>553</v>
      </c>
      <c r="H97" t="s">
        <v>23</v>
      </c>
      <c r="I97" t="s">
        <v>24</v>
      </c>
      <c r="J97" t="s">
        <v>554</v>
      </c>
      <c r="L97" t="s">
        <v>25</v>
      </c>
      <c r="M97" t="s">
        <v>799</v>
      </c>
      <c r="N97" t="s">
        <v>830</v>
      </c>
    </row>
    <row r="98" spans="1:14" x14ac:dyDescent="0.3">
      <c r="A98" t="s">
        <v>43</v>
      </c>
      <c r="B98" t="s">
        <v>44</v>
      </c>
      <c r="C98" s="3">
        <v>14</v>
      </c>
      <c r="D98" t="s">
        <v>45</v>
      </c>
      <c r="E98" t="s">
        <v>46</v>
      </c>
      <c r="F98" t="s">
        <v>47</v>
      </c>
      <c r="G98" t="s">
        <v>48</v>
      </c>
      <c r="H98" t="s">
        <v>32</v>
      </c>
      <c r="I98" t="s">
        <v>24</v>
      </c>
      <c r="J98" t="s">
        <v>49</v>
      </c>
      <c r="K98" t="s">
        <v>50</v>
      </c>
      <c r="L98" t="s">
        <v>25</v>
      </c>
      <c r="M98" t="s">
        <v>801</v>
      </c>
      <c r="N98" t="s">
        <v>831</v>
      </c>
    </row>
    <row r="99" spans="1:14" x14ac:dyDescent="0.3">
      <c r="A99" t="s">
        <v>397</v>
      </c>
      <c r="B99" t="s">
        <v>398</v>
      </c>
      <c r="C99" s="3">
        <v>14</v>
      </c>
      <c r="D99" t="s">
        <v>399</v>
      </c>
      <c r="E99" t="s">
        <v>400</v>
      </c>
      <c r="F99" t="s">
        <v>401</v>
      </c>
      <c r="G99" t="s">
        <v>402</v>
      </c>
      <c r="H99" t="s">
        <v>32</v>
      </c>
      <c r="I99" t="s">
        <v>24</v>
      </c>
      <c r="J99" t="s">
        <v>403</v>
      </c>
      <c r="L99" t="s">
        <v>25</v>
      </c>
      <c r="M99" t="s">
        <v>818</v>
      </c>
      <c r="N99" t="s">
        <v>831</v>
      </c>
    </row>
    <row r="100" spans="1:14" x14ac:dyDescent="0.3">
      <c r="A100" t="s">
        <v>102</v>
      </c>
      <c r="B100" t="s">
        <v>103</v>
      </c>
      <c r="C100" s="3">
        <v>12</v>
      </c>
      <c r="D100" t="s">
        <v>104</v>
      </c>
      <c r="E100" t="s">
        <v>105</v>
      </c>
      <c r="F100" t="s">
        <v>106</v>
      </c>
      <c r="G100" t="s">
        <v>107</v>
      </c>
      <c r="H100" t="s">
        <v>23</v>
      </c>
      <c r="I100" t="s">
        <v>24</v>
      </c>
      <c r="J100" t="s">
        <v>108</v>
      </c>
      <c r="K100" t="s">
        <v>109</v>
      </c>
      <c r="L100" t="s">
        <v>25</v>
      </c>
      <c r="M100" t="s">
        <v>751</v>
      </c>
      <c r="N100" t="s">
        <v>831</v>
      </c>
    </row>
    <row r="101" spans="1:14" x14ac:dyDescent="0.3">
      <c r="A101" t="s">
        <v>694</v>
      </c>
      <c r="B101" t="s">
        <v>695</v>
      </c>
      <c r="C101" s="3">
        <v>12</v>
      </c>
      <c r="D101" t="s">
        <v>696</v>
      </c>
      <c r="E101" t="s">
        <v>697</v>
      </c>
      <c r="F101" t="s">
        <v>698</v>
      </c>
      <c r="G101" t="s">
        <v>699</v>
      </c>
      <c r="H101" t="s">
        <v>32</v>
      </c>
      <c r="I101" t="s">
        <v>24</v>
      </c>
      <c r="K101" t="s">
        <v>700</v>
      </c>
      <c r="L101" t="s">
        <v>25</v>
      </c>
      <c r="M101" t="s">
        <v>805</v>
      </c>
      <c r="N101" t="s">
        <v>830</v>
      </c>
    </row>
    <row r="102" spans="1:14" x14ac:dyDescent="0.3">
      <c r="A102" t="s">
        <v>217</v>
      </c>
      <c r="B102" t="s">
        <v>218</v>
      </c>
      <c r="C102" s="3">
        <v>11</v>
      </c>
      <c r="D102" t="s">
        <v>219</v>
      </c>
      <c r="E102" t="s">
        <v>220</v>
      </c>
      <c r="F102" t="s">
        <v>221</v>
      </c>
      <c r="G102" t="s">
        <v>222</v>
      </c>
      <c r="H102" t="s">
        <v>32</v>
      </c>
      <c r="I102" t="s">
        <v>24</v>
      </c>
      <c r="J102" t="s">
        <v>223</v>
      </c>
      <c r="K102" t="s">
        <v>224</v>
      </c>
      <c r="L102" t="s">
        <v>25</v>
      </c>
      <c r="M102" t="s">
        <v>767</v>
      </c>
      <c r="N102" t="s">
        <v>831</v>
      </c>
    </row>
    <row r="103" spans="1:14" x14ac:dyDescent="0.3">
      <c r="A103" t="s">
        <v>375</v>
      </c>
      <c r="B103" t="s">
        <v>376</v>
      </c>
      <c r="C103" s="3">
        <v>11</v>
      </c>
      <c r="D103" t="s">
        <v>377</v>
      </c>
      <c r="E103" t="s">
        <v>378</v>
      </c>
      <c r="F103" t="s">
        <v>379</v>
      </c>
      <c r="G103" t="s">
        <v>380</v>
      </c>
      <c r="H103" t="s">
        <v>23</v>
      </c>
      <c r="I103" t="s">
        <v>24</v>
      </c>
      <c r="J103" t="s">
        <v>381</v>
      </c>
      <c r="K103" t="s">
        <v>382</v>
      </c>
      <c r="L103" t="s">
        <v>25</v>
      </c>
      <c r="M103" t="s">
        <v>775</v>
      </c>
      <c r="N103" t="s">
        <v>830</v>
      </c>
    </row>
    <row r="104" spans="1:14" x14ac:dyDescent="0.3">
      <c r="A104" t="s">
        <v>467</v>
      </c>
      <c r="B104" t="s">
        <v>468</v>
      </c>
      <c r="C104" s="3">
        <v>10</v>
      </c>
      <c r="D104" t="s">
        <v>469</v>
      </c>
      <c r="E104" t="s">
        <v>470</v>
      </c>
      <c r="F104" t="s">
        <v>471</v>
      </c>
      <c r="G104" t="s">
        <v>472</v>
      </c>
      <c r="H104" t="s">
        <v>32</v>
      </c>
      <c r="I104" t="s">
        <v>24</v>
      </c>
      <c r="J104" t="s">
        <v>473</v>
      </c>
      <c r="L104" t="s">
        <v>25</v>
      </c>
      <c r="M104" t="s">
        <v>808</v>
      </c>
      <c r="N104" t="s">
        <v>830</v>
      </c>
    </row>
    <row r="105" spans="1:14" x14ac:dyDescent="0.3">
      <c r="A105" t="s">
        <v>416</v>
      </c>
      <c r="B105" t="s">
        <v>417</v>
      </c>
      <c r="C105" s="3">
        <v>10</v>
      </c>
      <c r="D105" t="s">
        <v>418</v>
      </c>
      <c r="E105" t="s">
        <v>419</v>
      </c>
      <c r="F105" t="s">
        <v>420</v>
      </c>
      <c r="G105" t="s">
        <v>421</v>
      </c>
      <c r="H105" t="s">
        <v>32</v>
      </c>
      <c r="I105" t="s">
        <v>24</v>
      </c>
      <c r="J105" t="s">
        <v>422</v>
      </c>
      <c r="L105" t="s">
        <v>25</v>
      </c>
      <c r="M105" t="s">
        <v>821</v>
      </c>
      <c r="N105" t="s">
        <v>831</v>
      </c>
    </row>
    <row r="106" spans="1:14" x14ac:dyDescent="0.3">
      <c r="A106" t="s">
        <v>181</v>
      </c>
      <c r="B106" t="s">
        <v>182</v>
      </c>
      <c r="C106" s="3">
        <v>7</v>
      </c>
      <c r="D106" t="s">
        <v>183</v>
      </c>
      <c r="E106" t="s">
        <v>184</v>
      </c>
      <c r="F106" t="s">
        <v>185</v>
      </c>
      <c r="G106" t="s">
        <v>186</v>
      </c>
      <c r="H106" t="s">
        <v>32</v>
      </c>
      <c r="I106" t="s">
        <v>24</v>
      </c>
      <c r="L106" t="s">
        <v>25</v>
      </c>
      <c r="M106" t="s">
        <v>752</v>
      </c>
      <c r="N106" t="s">
        <v>831</v>
      </c>
    </row>
  </sheetData>
  <autoFilter ref="D1:D106" xr:uid="{00000000-0001-0000-0000-000000000000}">
    <sortState xmlns:xlrd2="http://schemas.microsoft.com/office/spreadsheetml/2017/richdata2" ref="A2:L106">
      <sortCondition ref="D1:D106"/>
    </sortState>
  </autoFilter>
  <sortState xmlns:xlrd2="http://schemas.microsoft.com/office/spreadsheetml/2017/richdata2" ref="A2:N109">
    <sortCondition descending="1" ref="C1:C10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6AA84-1784-4A0C-BB95-B9268FC61559}">
  <sheetPr codeName="Ark4"/>
  <dimension ref="A1:N9"/>
  <sheetViews>
    <sheetView workbookViewId="0">
      <selection activeCell="G18" sqref="F18:G18"/>
    </sheetView>
  </sheetViews>
  <sheetFormatPr defaultRowHeight="14.4" x14ac:dyDescent="0.3"/>
  <sheetData>
    <row r="1" spans="1:14" x14ac:dyDescent="0.3">
      <c r="A1" s="10" t="s">
        <v>9</v>
      </c>
      <c r="B1" s="10" t="s">
        <v>0</v>
      </c>
      <c r="C1" s="10" t="s">
        <v>732</v>
      </c>
      <c r="D1" s="10" t="s">
        <v>1</v>
      </c>
      <c r="E1" s="10" t="s">
        <v>2</v>
      </c>
      <c r="F1" s="10" t="s">
        <v>3</v>
      </c>
      <c r="G1" s="10" t="s">
        <v>4</v>
      </c>
      <c r="H1" s="10" t="s">
        <v>10</v>
      </c>
      <c r="I1" s="10" t="s">
        <v>5</v>
      </c>
      <c r="J1" s="10" t="s">
        <v>6</v>
      </c>
      <c r="K1" s="10" t="s">
        <v>7</v>
      </c>
      <c r="L1" s="10" t="s">
        <v>8</v>
      </c>
      <c r="M1" s="1" t="s">
        <v>736</v>
      </c>
      <c r="N1" s="10" t="s">
        <v>917</v>
      </c>
    </row>
    <row r="2" spans="1:14" x14ac:dyDescent="0.3">
      <c r="A2" t="s">
        <v>872</v>
      </c>
      <c r="B2" t="s">
        <v>873</v>
      </c>
      <c r="C2" s="3" t="s">
        <v>733</v>
      </c>
      <c r="D2" t="s">
        <v>874</v>
      </c>
      <c r="E2" t="s">
        <v>875</v>
      </c>
      <c r="F2" t="s">
        <v>876</v>
      </c>
      <c r="G2" t="s">
        <v>877</v>
      </c>
      <c r="H2" t="s">
        <v>32</v>
      </c>
      <c r="I2" t="s">
        <v>869</v>
      </c>
      <c r="J2" t="s">
        <v>878</v>
      </c>
      <c r="L2" t="s">
        <v>25</v>
      </c>
      <c r="M2" t="s">
        <v>919</v>
      </c>
      <c r="N2" t="s">
        <v>831</v>
      </c>
    </row>
    <row r="3" spans="1:14" x14ac:dyDescent="0.3">
      <c r="A3" t="s">
        <v>885</v>
      </c>
      <c r="B3" t="s">
        <v>886</v>
      </c>
      <c r="C3" s="3" t="s">
        <v>733</v>
      </c>
      <c r="D3" t="s">
        <v>887</v>
      </c>
      <c r="E3" t="s">
        <v>888</v>
      </c>
      <c r="F3" t="s">
        <v>334</v>
      </c>
      <c r="G3" t="s">
        <v>335</v>
      </c>
      <c r="H3" t="s">
        <v>23</v>
      </c>
      <c r="I3" t="s">
        <v>869</v>
      </c>
      <c r="J3" t="s">
        <v>889</v>
      </c>
      <c r="L3" t="s">
        <v>25</v>
      </c>
      <c r="M3" t="s">
        <v>921</v>
      </c>
      <c r="N3" t="s">
        <v>830</v>
      </c>
    </row>
    <row r="4" spans="1:14" x14ac:dyDescent="0.3">
      <c r="A4" t="s">
        <v>896</v>
      </c>
      <c r="B4" t="s">
        <v>897</v>
      </c>
      <c r="C4" s="3" t="s">
        <v>733</v>
      </c>
      <c r="D4" t="s">
        <v>898</v>
      </c>
      <c r="E4" t="s">
        <v>899</v>
      </c>
      <c r="F4" t="s">
        <v>900</v>
      </c>
      <c r="G4" t="s">
        <v>901</v>
      </c>
      <c r="H4" t="s">
        <v>32</v>
      </c>
      <c r="I4" t="s">
        <v>869</v>
      </c>
      <c r="J4" t="s">
        <v>902</v>
      </c>
      <c r="K4" t="s">
        <v>903</v>
      </c>
      <c r="L4" t="s">
        <v>25</v>
      </c>
      <c r="M4" t="s">
        <v>923</v>
      </c>
      <c r="N4" t="s">
        <v>831</v>
      </c>
    </row>
    <row r="5" spans="1:14" x14ac:dyDescent="0.3">
      <c r="A5" t="s">
        <v>890</v>
      </c>
      <c r="B5" t="s">
        <v>891</v>
      </c>
      <c r="C5" s="3">
        <v>146</v>
      </c>
      <c r="D5" t="s">
        <v>892</v>
      </c>
      <c r="E5" t="s">
        <v>893</v>
      </c>
      <c r="F5" t="s">
        <v>894</v>
      </c>
      <c r="G5" t="s">
        <v>895</v>
      </c>
      <c r="H5" t="s">
        <v>32</v>
      </c>
      <c r="I5" t="s">
        <v>869</v>
      </c>
      <c r="L5" t="s">
        <v>25</v>
      </c>
      <c r="M5" t="s">
        <v>922</v>
      </c>
      <c r="N5" t="s">
        <v>831</v>
      </c>
    </row>
    <row r="6" spans="1:14" x14ac:dyDescent="0.3">
      <c r="A6" t="s">
        <v>865</v>
      </c>
      <c r="B6" t="s">
        <v>866</v>
      </c>
      <c r="C6" s="3">
        <v>89</v>
      </c>
      <c r="D6" t="s">
        <v>867</v>
      </c>
      <c r="E6" t="s">
        <v>868</v>
      </c>
      <c r="F6" t="s">
        <v>114</v>
      </c>
      <c r="G6" t="s">
        <v>115</v>
      </c>
      <c r="H6" t="s">
        <v>32</v>
      </c>
      <c r="I6" t="s">
        <v>869</v>
      </c>
      <c r="J6" t="s">
        <v>870</v>
      </c>
      <c r="K6" t="s">
        <v>871</v>
      </c>
      <c r="L6" t="s">
        <v>25</v>
      </c>
      <c r="M6" t="s">
        <v>918</v>
      </c>
      <c r="N6" t="s">
        <v>831</v>
      </c>
    </row>
    <row r="7" spans="1:14" x14ac:dyDescent="0.3">
      <c r="A7" t="s">
        <v>910</v>
      </c>
      <c r="B7" t="s">
        <v>690</v>
      </c>
      <c r="C7" s="3">
        <v>88</v>
      </c>
      <c r="D7" t="s">
        <v>911</v>
      </c>
      <c r="E7" t="s">
        <v>912</v>
      </c>
      <c r="F7" t="s">
        <v>913</v>
      </c>
      <c r="G7" t="s">
        <v>914</v>
      </c>
      <c r="H7" t="s">
        <v>32</v>
      </c>
      <c r="I7" t="s">
        <v>869</v>
      </c>
      <c r="J7" t="s">
        <v>915</v>
      </c>
      <c r="K7" t="s">
        <v>916</v>
      </c>
      <c r="L7" t="s">
        <v>25</v>
      </c>
      <c r="M7" t="s">
        <v>925</v>
      </c>
      <c r="N7" t="s">
        <v>829</v>
      </c>
    </row>
    <row r="8" spans="1:14" x14ac:dyDescent="0.3">
      <c r="A8" t="s">
        <v>879</v>
      </c>
      <c r="B8" t="s">
        <v>880</v>
      </c>
      <c r="C8" s="3">
        <v>51</v>
      </c>
      <c r="D8" t="s">
        <v>881</v>
      </c>
      <c r="E8" t="s">
        <v>882</v>
      </c>
      <c r="F8" t="s">
        <v>445</v>
      </c>
      <c r="G8" t="s">
        <v>446</v>
      </c>
      <c r="H8" t="s">
        <v>32</v>
      </c>
      <c r="I8" t="s">
        <v>869</v>
      </c>
      <c r="J8" t="s">
        <v>883</v>
      </c>
      <c r="K8" t="s">
        <v>884</v>
      </c>
      <c r="L8" t="s">
        <v>25</v>
      </c>
      <c r="M8" t="s">
        <v>920</v>
      </c>
      <c r="N8" t="s">
        <v>830</v>
      </c>
    </row>
    <row r="9" spans="1:14" x14ac:dyDescent="0.3">
      <c r="A9" t="s">
        <v>904</v>
      </c>
      <c r="B9" t="s">
        <v>905</v>
      </c>
      <c r="C9" s="3">
        <v>35</v>
      </c>
      <c r="D9" t="s">
        <v>906</v>
      </c>
      <c r="E9" t="s">
        <v>907</v>
      </c>
      <c r="F9" t="s">
        <v>544</v>
      </c>
      <c r="G9" t="s">
        <v>545</v>
      </c>
      <c r="H9" t="s">
        <v>32</v>
      </c>
      <c r="I9" t="s">
        <v>869</v>
      </c>
      <c r="J9" t="s">
        <v>908</v>
      </c>
      <c r="K9" t="s">
        <v>909</v>
      </c>
      <c r="L9" t="s">
        <v>25</v>
      </c>
      <c r="M9" t="s">
        <v>924</v>
      </c>
      <c r="N9" t="s">
        <v>831</v>
      </c>
    </row>
  </sheetData>
  <sortState xmlns:xlrd2="http://schemas.microsoft.com/office/spreadsheetml/2017/richdata2" ref="A2:N9">
    <sortCondition descending="1" ref="C1:C9"/>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2E7C6-761C-4A7A-B307-D2D58FCC6025}">
  <sheetPr codeName="Ark5"/>
  <dimension ref="A1:O43"/>
  <sheetViews>
    <sheetView workbookViewId="0">
      <selection activeCell="D18" sqref="D18"/>
    </sheetView>
  </sheetViews>
  <sheetFormatPr defaultRowHeight="14.4" x14ac:dyDescent="0.3"/>
  <cols>
    <col min="3" max="3" width="9.109375" style="3"/>
    <col min="4" max="4" width="23.5546875" customWidth="1"/>
  </cols>
  <sheetData>
    <row r="1" spans="1:15" x14ac:dyDescent="0.3">
      <c r="A1" s="10" t="s">
        <v>9</v>
      </c>
      <c r="B1" s="10" t="s">
        <v>0</v>
      </c>
      <c r="C1" s="11" t="s">
        <v>732</v>
      </c>
      <c r="D1" s="10" t="s">
        <v>1</v>
      </c>
      <c r="E1" s="10" t="s">
        <v>2</v>
      </c>
      <c r="F1" s="10" t="s">
        <v>3</v>
      </c>
      <c r="G1" s="10" t="s">
        <v>4</v>
      </c>
      <c r="H1" s="10" t="s">
        <v>10</v>
      </c>
      <c r="I1" s="10" t="s">
        <v>5</v>
      </c>
      <c r="J1" s="10" t="s">
        <v>6</v>
      </c>
      <c r="K1" s="10" t="s">
        <v>7</v>
      </c>
      <c r="L1" s="10" t="s">
        <v>8</v>
      </c>
      <c r="M1" s="1" t="s">
        <v>736</v>
      </c>
      <c r="N1" s="10" t="s">
        <v>917</v>
      </c>
      <c r="O1" s="10" t="s">
        <v>1238</v>
      </c>
    </row>
    <row r="2" spans="1:15" x14ac:dyDescent="0.3">
      <c r="A2" t="s">
        <v>998</v>
      </c>
      <c r="B2" t="s">
        <v>999</v>
      </c>
      <c r="C2" s="3" t="s">
        <v>733</v>
      </c>
      <c r="D2" t="s">
        <v>1000</v>
      </c>
      <c r="E2" t="s">
        <v>1001</v>
      </c>
      <c r="F2" t="s">
        <v>1002</v>
      </c>
      <c r="G2" t="s">
        <v>1003</v>
      </c>
      <c r="H2" t="s">
        <v>23</v>
      </c>
      <c r="I2" t="s">
        <v>932</v>
      </c>
      <c r="J2" t="s">
        <v>1004</v>
      </c>
      <c r="K2" t="s">
        <v>1005</v>
      </c>
      <c r="L2" t="s">
        <v>25</v>
      </c>
      <c r="M2" t="s">
        <v>1206</v>
      </c>
      <c r="N2" t="s">
        <v>831</v>
      </c>
    </row>
    <row r="3" spans="1:15" x14ac:dyDescent="0.3">
      <c r="A3" t="s">
        <v>1150</v>
      </c>
      <c r="B3" t="s">
        <v>1151</v>
      </c>
      <c r="C3" s="3" t="s">
        <v>733</v>
      </c>
      <c r="D3" t="s">
        <v>1152</v>
      </c>
      <c r="E3" t="s">
        <v>1153</v>
      </c>
      <c r="F3" t="s">
        <v>1154</v>
      </c>
      <c r="G3" t="s">
        <v>1155</v>
      </c>
      <c r="H3" t="s">
        <v>32</v>
      </c>
      <c r="I3" t="s">
        <v>932</v>
      </c>
      <c r="J3" t="s">
        <v>1156</v>
      </c>
      <c r="L3" t="s">
        <v>25</v>
      </c>
      <c r="M3" t="s">
        <v>1219</v>
      </c>
      <c r="N3" t="s">
        <v>830</v>
      </c>
    </row>
    <row r="4" spans="1:15" x14ac:dyDescent="0.3">
      <c r="A4" t="s">
        <v>1084</v>
      </c>
      <c r="B4" t="s">
        <v>1085</v>
      </c>
      <c r="C4" s="3">
        <v>313</v>
      </c>
      <c r="D4" t="s">
        <v>1086</v>
      </c>
      <c r="E4" t="s">
        <v>899</v>
      </c>
      <c r="F4" t="s">
        <v>900</v>
      </c>
      <c r="G4" t="s">
        <v>901</v>
      </c>
      <c r="H4" t="s">
        <v>32</v>
      </c>
      <c r="I4" t="s">
        <v>932</v>
      </c>
      <c r="J4" t="s">
        <v>1087</v>
      </c>
      <c r="L4" t="s">
        <v>25</v>
      </c>
      <c r="M4" t="s">
        <v>1214</v>
      </c>
      <c r="N4" t="s">
        <v>831</v>
      </c>
    </row>
    <row r="5" spans="1:15" x14ac:dyDescent="0.3">
      <c r="A5" t="s">
        <v>994</v>
      </c>
      <c r="B5" t="s">
        <v>995</v>
      </c>
      <c r="C5" s="3">
        <v>264</v>
      </c>
      <c r="D5" t="s">
        <v>996</v>
      </c>
      <c r="E5" t="s">
        <v>997</v>
      </c>
      <c r="F5" t="s">
        <v>485</v>
      </c>
      <c r="G5" t="s">
        <v>486</v>
      </c>
      <c r="H5" t="s">
        <v>32</v>
      </c>
      <c r="I5" t="s">
        <v>932</v>
      </c>
      <c r="L5" t="s">
        <v>25</v>
      </c>
      <c r="M5" t="s">
        <v>1231</v>
      </c>
      <c r="N5" t="s">
        <v>835</v>
      </c>
    </row>
    <row r="6" spans="1:15" x14ac:dyDescent="0.3">
      <c r="A6" t="s">
        <v>1094</v>
      </c>
      <c r="B6" t="s">
        <v>1095</v>
      </c>
      <c r="C6" s="3">
        <v>210</v>
      </c>
      <c r="D6" t="s">
        <v>1096</v>
      </c>
      <c r="E6" t="s">
        <v>1097</v>
      </c>
      <c r="F6" t="s">
        <v>412</v>
      </c>
      <c r="G6" t="s">
        <v>413</v>
      </c>
      <c r="H6" t="s">
        <v>32</v>
      </c>
      <c r="I6" t="s">
        <v>932</v>
      </c>
      <c r="J6" t="s">
        <v>1098</v>
      </c>
      <c r="L6" t="s">
        <v>25</v>
      </c>
      <c r="M6" t="s">
        <v>1235</v>
      </c>
      <c r="N6" t="s">
        <v>835</v>
      </c>
    </row>
    <row r="7" spans="1:15" x14ac:dyDescent="0.3">
      <c r="A7" t="s">
        <v>1055</v>
      </c>
      <c r="B7" t="s">
        <v>1056</v>
      </c>
      <c r="C7" s="3">
        <v>179</v>
      </c>
      <c r="D7" t="s">
        <v>1057</v>
      </c>
      <c r="E7" t="s">
        <v>1058</v>
      </c>
      <c r="F7" t="s">
        <v>529</v>
      </c>
      <c r="G7" t="s">
        <v>530</v>
      </c>
      <c r="H7" t="s">
        <v>32</v>
      </c>
      <c r="I7" t="s">
        <v>932</v>
      </c>
      <c r="J7" t="s">
        <v>1059</v>
      </c>
      <c r="L7" t="s">
        <v>25</v>
      </c>
      <c r="M7" t="s">
        <v>1226</v>
      </c>
      <c r="N7" t="s">
        <v>829</v>
      </c>
    </row>
    <row r="8" spans="1:15" x14ac:dyDescent="0.3">
      <c r="A8" t="s">
        <v>1135</v>
      </c>
      <c r="B8" t="s">
        <v>417</v>
      </c>
      <c r="C8" s="3">
        <v>126</v>
      </c>
      <c r="D8" t="s">
        <v>1136</v>
      </c>
      <c r="E8" t="s">
        <v>1137</v>
      </c>
      <c r="F8" t="s">
        <v>1138</v>
      </c>
      <c r="G8" t="s">
        <v>1139</v>
      </c>
      <c r="H8" t="s">
        <v>32</v>
      </c>
      <c r="I8" t="s">
        <v>932</v>
      </c>
      <c r="J8" t="s">
        <v>1140</v>
      </c>
      <c r="K8" t="s">
        <v>1141</v>
      </c>
      <c r="L8" t="s">
        <v>25</v>
      </c>
      <c r="M8" t="s">
        <v>1218</v>
      </c>
      <c r="N8" t="s">
        <v>830</v>
      </c>
    </row>
    <row r="9" spans="1:15" x14ac:dyDescent="0.3">
      <c r="A9" t="s">
        <v>1037</v>
      </c>
      <c r="B9" t="s">
        <v>1038</v>
      </c>
      <c r="C9" s="3">
        <v>122</v>
      </c>
      <c r="D9" t="s">
        <v>1039</v>
      </c>
      <c r="E9" t="s">
        <v>1040</v>
      </c>
      <c r="F9" t="s">
        <v>249</v>
      </c>
      <c r="G9" t="s">
        <v>250</v>
      </c>
      <c r="H9" t="s">
        <v>32</v>
      </c>
      <c r="I9" t="s">
        <v>932</v>
      </c>
      <c r="J9" t="s">
        <v>1041</v>
      </c>
      <c r="K9" t="s">
        <v>1042</v>
      </c>
      <c r="L9" t="s">
        <v>25</v>
      </c>
      <c r="M9" t="s">
        <v>1225</v>
      </c>
      <c r="N9" t="s">
        <v>831</v>
      </c>
    </row>
    <row r="10" spans="1:15" x14ac:dyDescent="0.3">
      <c r="A10" t="s">
        <v>1163</v>
      </c>
      <c r="B10" t="s">
        <v>1164</v>
      </c>
      <c r="C10" s="3">
        <v>114</v>
      </c>
      <c r="D10" t="s">
        <v>1165</v>
      </c>
      <c r="E10" t="s">
        <v>1166</v>
      </c>
      <c r="F10" t="s">
        <v>1167</v>
      </c>
      <c r="G10" t="s">
        <v>1168</v>
      </c>
      <c r="H10" t="s">
        <v>32</v>
      </c>
      <c r="I10" t="s">
        <v>932</v>
      </c>
      <c r="J10" t="s">
        <v>1169</v>
      </c>
      <c r="L10" t="s">
        <v>25</v>
      </c>
      <c r="M10" t="s">
        <v>1221</v>
      </c>
      <c r="N10" t="s">
        <v>831</v>
      </c>
    </row>
    <row r="11" spans="1:15" x14ac:dyDescent="0.3">
      <c r="A11" t="s">
        <v>1029</v>
      </c>
      <c r="B11" t="s">
        <v>1030</v>
      </c>
      <c r="C11" s="3">
        <v>94</v>
      </c>
      <c r="D11" t="s">
        <v>1031</v>
      </c>
      <c r="E11" t="s">
        <v>1032</v>
      </c>
      <c r="F11" t="s">
        <v>1033</v>
      </c>
      <c r="G11" t="s">
        <v>1034</v>
      </c>
      <c r="H11" t="s">
        <v>32</v>
      </c>
      <c r="I11" t="s">
        <v>932</v>
      </c>
      <c r="J11" t="s">
        <v>1035</v>
      </c>
      <c r="K11" t="s">
        <v>1036</v>
      </c>
      <c r="L11" t="s">
        <v>25</v>
      </c>
      <c r="M11" t="s">
        <v>1232</v>
      </c>
      <c r="N11" t="s">
        <v>830</v>
      </c>
    </row>
    <row r="12" spans="1:15" x14ac:dyDescent="0.3">
      <c r="A12" t="s">
        <v>926</v>
      </c>
      <c r="B12" t="s">
        <v>927</v>
      </c>
      <c r="C12" s="3">
        <v>62</v>
      </c>
      <c r="D12" t="s">
        <v>928</v>
      </c>
      <c r="E12" t="s">
        <v>929</v>
      </c>
      <c r="F12" t="s">
        <v>930</v>
      </c>
      <c r="G12" t="s">
        <v>931</v>
      </c>
      <c r="H12" t="s">
        <v>32</v>
      </c>
      <c r="I12" t="s">
        <v>932</v>
      </c>
      <c r="J12" t="s">
        <v>933</v>
      </c>
      <c r="L12" t="s">
        <v>25</v>
      </c>
      <c r="M12" t="s">
        <v>1197</v>
      </c>
      <c r="N12" t="s">
        <v>830</v>
      </c>
    </row>
    <row r="13" spans="1:15" x14ac:dyDescent="0.3">
      <c r="A13" t="s">
        <v>1113</v>
      </c>
      <c r="B13" t="s">
        <v>1114</v>
      </c>
      <c r="C13" s="3">
        <v>53</v>
      </c>
      <c r="D13" t="s">
        <v>1115</v>
      </c>
      <c r="E13" t="s">
        <v>1116</v>
      </c>
      <c r="F13" t="s">
        <v>1117</v>
      </c>
      <c r="G13" t="s">
        <v>1118</v>
      </c>
      <c r="H13" t="s">
        <v>32</v>
      </c>
      <c r="I13" t="s">
        <v>932</v>
      </c>
      <c r="J13" t="s">
        <v>1119</v>
      </c>
      <c r="L13" t="s">
        <v>25</v>
      </c>
      <c r="M13" t="s">
        <v>1228</v>
      </c>
      <c r="N13" t="s">
        <v>831</v>
      </c>
    </row>
    <row r="14" spans="1:15" x14ac:dyDescent="0.3">
      <c r="A14" t="s">
        <v>1128</v>
      </c>
      <c r="B14" t="s">
        <v>1129</v>
      </c>
      <c r="C14" s="3">
        <v>53</v>
      </c>
      <c r="D14" t="s">
        <v>1130</v>
      </c>
      <c r="E14" t="s">
        <v>1131</v>
      </c>
      <c r="F14" t="s">
        <v>1132</v>
      </c>
      <c r="G14" t="s">
        <v>1133</v>
      </c>
      <c r="H14" t="s">
        <v>32</v>
      </c>
      <c r="I14" t="s">
        <v>932</v>
      </c>
      <c r="J14" t="s">
        <v>1134</v>
      </c>
      <c r="L14" t="s">
        <v>25</v>
      </c>
      <c r="M14" t="s">
        <v>1217</v>
      </c>
      <c r="N14" t="s">
        <v>831</v>
      </c>
    </row>
    <row r="15" spans="1:15" x14ac:dyDescent="0.3">
      <c r="A15" t="s">
        <v>1050</v>
      </c>
      <c r="B15" t="s">
        <v>1051</v>
      </c>
      <c r="C15" s="3">
        <v>50</v>
      </c>
      <c r="D15" t="s">
        <v>1052</v>
      </c>
      <c r="E15" t="s">
        <v>1053</v>
      </c>
      <c r="F15" t="s">
        <v>492</v>
      </c>
      <c r="G15" t="s">
        <v>493</v>
      </c>
      <c r="H15" t="s">
        <v>32</v>
      </c>
      <c r="I15" t="s">
        <v>932</v>
      </c>
      <c r="K15" t="s">
        <v>1054</v>
      </c>
      <c r="L15" t="s">
        <v>25</v>
      </c>
      <c r="M15" t="s">
        <v>1210</v>
      </c>
      <c r="N15" t="s">
        <v>831</v>
      </c>
      <c r="O15" t="s">
        <v>1195</v>
      </c>
    </row>
    <row r="16" spans="1:15" x14ac:dyDescent="0.3">
      <c r="A16" t="s">
        <v>1170</v>
      </c>
      <c r="B16" t="s">
        <v>1171</v>
      </c>
      <c r="C16" s="3">
        <v>45</v>
      </c>
      <c r="D16" t="s">
        <v>1172</v>
      </c>
      <c r="E16" t="s">
        <v>1173</v>
      </c>
      <c r="F16" t="s">
        <v>1174</v>
      </c>
      <c r="G16" t="s">
        <v>1175</v>
      </c>
      <c r="H16" t="s">
        <v>32</v>
      </c>
      <c r="I16" t="s">
        <v>932</v>
      </c>
      <c r="L16" t="s">
        <v>25</v>
      </c>
      <c r="M16" t="s">
        <v>1222</v>
      </c>
      <c r="N16" t="s">
        <v>831</v>
      </c>
    </row>
    <row r="17" spans="1:14" x14ac:dyDescent="0.3">
      <c r="A17" t="s">
        <v>1190</v>
      </c>
      <c r="B17" t="s">
        <v>1191</v>
      </c>
      <c r="C17" s="3">
        <v>45</v>
      </c>
      <c r="D17" t="s">
        <v>1192</v>
      </c>
      <c r="E17" t="s">
        <v>1193</v>
      </c>
      <c r="F17" t="s">
        <v>1092</v>
      </c>
      <c r="G17" t="s">
        <v>1093</v>
      </c>
      <c r="H17" t="s">
        <v>32</v>
      </c>
      <c r="I17" t="s">
        <v>932</v>
      </c>
      <c r="J17" t="s">
        <v>1194</v>
      </c>
      <c r="L17" t="s">
        <v>25</v>
      </c>
      <c r="M17" t="s">
        <v>1211</v>
      </c>
      <c r="N17" t="s">
        <v>830</v>
      </c>
    </row>
    <row r="18" spans="1:14" x14ac:dyDescent="0.3">
      <c r="A18" t="s">
        <v>1099</v>
      </c>
      <c r="B18" t="s">
        <v>1100</v>
      </c>
      <c r="C18" s="3">
        <v>43</v>
      </c>
      <c r="D18" t="s">
        <v>1101</v>
      </c>
      <c r="E18" t="s">
        <v>1102</v>
      </c>
      <c r="F18" t="s">
        <v>1103</v>
      </c>
      <c r="G18" t="s">
        <v>1104</v>
      </c>
      <c r="H18" t="s">
        <v>23</v>
      </c>
      <c r="I18" t="s">
        <v>932</v>
      </c>
      <c r="J18" t="s">
        <v>1105</v>
      </c>
      <c r="L18" t="s">
        <v>25</v>
      </c>
      <c r="M18" t="s">
        <v>1236</v>
      </c>
      <c r="N18" t="s">
        <v>830</v>
      </c>
    </row>
    <row r="19" spans="1:14" x14ac:dyDescent="0.3">
      <c r="A19" t="s">
        <v>975</v>
      </c>
      <c r="B19" t="s">
        <v>976</v>
      </c>
      <c r="C19" s="3">
        <v>41</v>
      </c>
      <c r="D19" t="s">
        <v>977</v>
      </c>
      <c r="E19" t="s">
        <v>978</v>
      </c>
      <c r="F19" t="s">
        <v>979</v>
      </c>
      <c r="G19" t="s">
        <v>980</v>
      </c>
      <c r="H19" t="s">
        <v>32</v>
      </c>
      <c r="I19" t="s">
        <v>932</v>
      </c>
      <c r="J19" t="s">
        <v>981</v>
      </c>
      <c r="L19" t="s">
        <v>25</v>
      </c>
      <c r="M19" t="s">
        <v>1203</v>
      </c>
      <c r="N19" t="s">
        <v>830</v>
      </c>
    </row>
    <row r="20" spans="1:14" x14ac:dyDescent="0.3">
      <c r="A20" t="s">
        <v>982</v>
      </c>
      <c r="B20" t="s">
        <v>983</v>
      </c>
      <c r="C20" s="3">
        <v>36</v>
      </c>
      <c r="D20" t="s">
        <v>984</v>
      </c>
      <c r="E20" t="s">
        <v>985</v>
      </c>
      <c r="F20" t="s">
        <v>99</v>
      </c>
      <c r="G20" t="s">
        <v>100</v>
      </c>
      <c r="H20" t="s">
        <v>32</v>
      </c>
      <c r="I20" t="s">
        <v>932</v>
      </c>
      <c r="J20" t="s">
        <v>986</v>
      </c>
      <c r="L20" t="s">
        <v>25</v>
      </c>
      <c r="M20" t="s">
        <v>1204</v>
      </c>
      <c r="N20" t="s">
        <v>830</v>
      </c>
    </row>
    <row r="21" spans="1:14" x14ac:dyDescent="0.3">
      <c r="A21" t="s">
        <v>957</v>
      </c>
      <c r="B21" t="s">
        <v>958</v>
      </c>
      <c r="C21" s="3">
        <v>35</v>
      </c>
      <c r="D21" t="s">
        <v>959</v>
      </c>
      <c r="E21" t="s">
        <v>960</v>
      </c>
      <c r="F21" t="s">
        <v>961</v>
      </c>
      <c r="G21" t="s">
        <v>962</v>
      </c>
      <c r="H21" t="s">
        <v>32</v>
      </c>
      <c r="I21" t="s">
        <v>932</v>
      </c>
      <c r="J21" t="s">
        <v>963</v>
      </c>
      <c r="L21" t="s">
        <v>25</v>
      </c>
      <c r="M21" t="s">
        <v>1224</v>
      </c>
      <c r="N21" t="s">
        <v>830</v>
      </c>
    </row>
    <row r="22" spans="1:14" x14ac:dyDescent="0.3">
      <c r="A22" t="s">
        <v>1120</v>
      </c>
      <c r="B22" t="s">
        <v>1121</v>
      </c>
      <c r="C22" s="3">
        <v>35</v>
      </c>
      <c r="D22" t="s">
        <v>1122</v>
      </c>
      <c r="E22" t="s">
        <v>1123</v>
      </c>
      <c r="F22" t="s">
        <v>1124</v>
      </c>
      <c r="G22" t="s">
        <v>1125</v>
      </c>
      <c r="H22" t="s">
        <v>32</v>
      </c>
      <c r="I22" t="s">
        <v>932</v>
      </c>
      <c r="J22" t="s">
        <v>1126</v>
      </c>
      <c r="K22" t="s">
        <v>1127</v>
      </c>
      <c r="L22" t="s">
        <v>25</v>
      </c>
      <c r="M22" t="s">
        <v>1216</v>
      </c>
      <c r="N22" t="s">
        <v>831</v>
      </c>
    </row>
    <row r="23" spans="1:14" x14ac:dyDescent="0.3">
      <c r="A23" t="s">
        <v>1182</v>
      </c>
      <c r="B23" t="s">
        <v>1183</v>
      </c>
      <c r="C23" s="3">
        <v>34</v>
      </c>
      <c r="D23" t="s">
        <v>1184</v>
      </c>
      <c r="E23" t="s">
        <v>1185</v>
      </c>
      <c r="F23" t="s">
        <v>1186</v>
      </c>
      <c r="G23" t="s">
        <v>1187</v>
      </c>
      <c r="H23" t="s">
        <v>23</v>
      </c>
      <c r="I23" t="s">
        <v>932</v>
      </c>
      <c r="J23" t="s">
        <v>1188</v>
      </c>
      <c r="K23" t="s">
        <v>1189</v>
      </c>
      <c r="L23" t="s">
        <v>25</v>
      </c>
      <c r="M23" t="s">
        <v>1237</v>
      </c>
      <c r="N23" t="s">
        <v>829</v>
      </c>
    </row>
    <row r="24" spans="1:14" x14ac:dyDescent="0.3">
      <c r="A24" t="s">
        <v>1060</v>
      </c>
      <c r="B24" t="s">
        <v>1061</v>
      </c>
      <c r="C24" s="3">
        <v>30</v>
      </c>
      <c r="D24" t="s">
        <v>1062</v>
      </c>
      <c r="E24" t="s">
        <v>1063</v>
      </c>
      <c r="F24" t="s">
        <v>1002</v>
      </c>
      <c r="G24" t="s">
        <v>1003</v>
      </c>
      <c r="H24" t="s">
        <v>32</v>
      </c>
      <c r="I24" t="s">
        <v>932</v>
      </c>
      <c r="L24" t="s">
        <v>25</v>
      </c>
      <c r="M24" t="s">
        <v>1227</v>
      </c>
      <c r="N24" t="s">
        <v>830</v>
      </c>
    </row>
    <row r="25" spans="1:14" x14ac:dyDescent="0.3">
      <c r="A25" t="s">
        <v>964</v>
      </c>
      <c r="B25" t="s">
        <v>965</v>
      </c>
      <c r="C25" s="3">
        <v>29</v>
      </c>
      <c r="D25" t="s">
        <v>966</v>
      </c>
      <c r="E25" t="s">
        <v>967</v>
      </c>
      <c r="F25" t="s">
        <v>968</v>
      </c>
      <c r="G25" t="s">
        <v>969</v>
      </c>
      <c r="H25" t="s">
        <v>32</v>
      </c>
      <c r="I25" t="s">
        <v>932</v>
      </c>
      <c r="J25" t="s">
        <v>970</v>
      </c>
      <c r="L25" t="s">
        <v>25</v>
      </c>
      <c r="M25" t="s">
        <v>1201</v>
      </c>
      <c r="N25" t="s">
        <v>830</v>
      </c>
    </row>
    <row r="26" spans="1:14" x14ac:dyDescent="0.3">
      <c r="A26" t="s">
        <v>1043</v>
      </c>
      <c r="B26" t="s">
        <v>1044</v>
      </c>
      <c r="C26" s="3">
        <v>27</v>
      </c>
      <c r="D26" t="s">
        <v>1045</v>
      </c>
      <c r="E26" t="s">
        <v>1046</v>
      </c>
      <c r="F26" t="s">
        <v>1047</v>
      </c>
      <c r="G26" t="s">
        <v>1048</v>
      </c>
      <c r="H26" t="s">
        <v>32</v>
      </c>
      <c r="I26" t="s">
        <v>932</v>
      </c>
      <c r="J26" t="s">
        <v>1049</v>
      </c>
      <c r="L26" t="s">
        <v>25</v>
      </c>
      <c r="M26" t="s">
        <v>1233</v>
      </c>
      <c r="N26" t="s">
        <v>830</v>
      </c>
    </row>
    <row r="27" spans="1:14" x14ac:dyDescent="0.3">
      <c r="A27" t="s">
        <v>940</v>
      </c>
      <c r="B27" t="s">
        <v>645</v>
      </c>
      <c r="C27" s="3">
        <v>24</v>
      </c>
      <c r="D27" t="s">
        <v>941</v>
      </c>
      <c r="E27" t="s">
        <v>942</v>
      </c>
      <c r="F27" t="s">
        <v>943</v>
      </c>
      <c r="G27" t="s">
        <v>944</v>
      </c>
      <c r="H27" t="s">
        <v>32</v>
      </c>
      <c r="I27" t="s">
        <v>932</v>
      </c>
      <c r="L27" t="s">
        <v>25</v>
      </c>
      <c r="M27" t="s">
        <v>1199</v>
      </c>
      <c r="N27" t="s">
        <v>830</v>
      </c>
    </row>
    <row r="28" spans="1:14" x14ac:dyDescent="0.3">
      <c r="A28" t="s">
        <v>1071</v>
      </c>
      <c r="B28" t="s">
        <v>1072</v>
      </c>
      <c r="C28" s="3">
        <v>23</v>
      </c>
      <c r="D28" t="s">
        <v>1073</v>
      </c>
      <c r="E28" t="s">
        <v>1074</v>
      </c>
      <c r="F28" t="s">
        <v>1075</v>
      </c>
      <c r="G28" t="s">
        <v>1076</v>
      </c>
      <c r="H28" t="s">
        <v>32</v>
      </c>
      <c r="I28" t="s">
        <v>932</v>
      </c>
      <c r="J28" t="s">
        <v>1077</v>
      </c>
      <c r="L28" t="s">
        <v>25</v>
      </c>
      <c r="M28" t="s">
        <v>1212</v>
      </c>
      <c r="N28" t="s">
        <v>830</v>
      </c>
    </row>
    <row r="29" spans="1:14" x14ac:dyDescent="0.3">
      <c r="A29" t="s">
        <v>945</v>
      </c>
      <c r="B29" t="s">
        <v>946</v>
      </c>
      <c r="C29" s="3">
        <v>20</v>
      </c>
      <c r="D29" t="s">
        <v>947</v>
      </c>
      <c r="E29" t="s">
        <v>948</v>
      </c>
      <c r="F29" t="s">
        <v>949</v>
      </c>
      <c r="G29" t="s">
        <v>950</v>
      </c>
      <c r="H29" t="s">
        <v>23</v>
      </c>
      <c r="I29" t="s">
        <v>932</v>
      </c>
      <c r="L29" t="s">
        <v>25</v>
      </c>
      <c r="M29" t="s">
        <v>1230</v>
      </c>
      <c r="N29" t="s">
        <v>832</v>
      </c>
    </row>
    <row r="30" spans="1:14" x14ac:dyDescent="0.3">
      <c r="A30" t="s">
        <v>1064</v>
      </c>
      <c r="B30" t="s">
        <v>1065</v>
      </c>
      <c r="C30" s="3">
        <v>20</v>
      </c>
      <c r="D30" t="s">
        <v>1066</v>
      </c>
      <c r="E30" t="s">
        <v>1067</v>
      </c>
      <c r="F30" t="s">
        <v>1068</v>
      </c>
      <c r="G30" t="s">
        <v>1069</v>
      </c>
      <c r="H30" t="s">
        <v>32</v>
      </c>
      <c r="I30" t="s">
        <v>932</v>
      </c>
      <c r="J30" t="s">
        <v>1070</v>
      </c>
      <c r="L30" t="s">
        <v>25</v>
      </c>
      <c r="M30" t="s">
        <v>1211</v>
      </c>
      <c r="N30" t="s">
        <v>830</v>
      </c>
    </row>
    <row r="31" spans="1:14" x14ac:dyDescent="0.3">
      <c r="A31" t="s">
        <v>1088</v>
      </c>
      <c r="B31" t="s">
        <v>1089</v>
      </c>
      <c r="C31" s="3">
        <v>20</v>
      </c>
      <c r="D31" t="s">
        <v>1090</v>
      </c>
      <c r="E31" t="s">
        <v>1091</v>
      </c>
      <c r="F31" t="s">
        <v>1092</v>
      </c>
      <c r="G31" t="s">
        <v>1093</v>
      </c>
      <c r="H31" t="s">
        <v>23</v>
      </c>
      <c r="I31" t="s">
        <v>932</v>
      </c>
      <c r="L31" t="s">
        <v>25</v>
      </c>
      <c r="M31" t="s">
        <v>1234</v>
      </c>
      <c r="N31" t="s">
        <v>829</v>
      </c>
    </row>
    <row r="32" spans="1:14" x14ac:dyDescent="0.3">
      <c r="A32" t="s">
        <v>1142</v>
      </c>
      <c r="B32" t="s">
        <v>1143</v>
      </c>
      <c r="C32" s="3">
        <v>20</v>
      </c>
      <c r="D32" t="s">
        <v>1144</v>
      </c>
      <c r="E32" t="s">
        <v>1145</v>
      </c>
      <c r="F32" t="s">
        <v>1146</v>
      </c>
      <c r="G32" t="s">
        <v>1147</v>
      </c>
      <c r="H32" t="s">
        <v>32</v>
      </c>
      <c r="I32" t="s">
        <v>932</v>
      </c>
      <c r="J32" t="s">
        <v>1148</v>
      </c>
      <c r="K32" t="s">
        <v>1149</v>
      </c>
      <c r="L32" t="s">
        <v>25</v>
      </c>
      <c r="M32" t="s">
        <v>1229</v>
      </c>
      <c r="N32" t="s">
        <v>830</v>
      </c>
    </row>
    <row r="33" spans="1:15" x14ac:dyDescent="0.3">
      <c r="A33" t="s">
        <v>1021</v>
      </c>
      <c r="B33" t="s">
        <v>1022</v>
      </c>
      <c r="C33" s="3">
        <v>18</v>
      </c>
      <c r="D33" t="s">
        <v>1023</v>
      </c>
      <c r="E33" t="s">
        <v>1024</v>
      </c>
      <c r="F33" t="s">
        <v>1025</v>
      </c>
      <c r="G33" t="s">
        <v>1026</v>
      </c>
      <c r="H33" t="s">
        <v>32</v>
      </c>
      <c r="I33" t="s">
        <v>932</v>
      </c>
      <c r="J33" t="s">
        <v>1027</v>
      </c>
      <c r="K33" t="s">
        <v>1028</v>
      </c>
      <c r="L33" t="s">
        <v>25</v>
      </c>
      <c r="M33" t="s">
        <v>1209</v>
      </c>
      <c r="N33" t="s">
        <v>829</v>
      </c>
    </row>
    <row r="34" spans="1:15" x14ac:dyDescent="0.3">
      <c r="A34" t="s">
        <v>1106</v>
      </c>
      <c r="B34" t="s">
        <v>1107</v>
      </c>
      <c r="C34" s="3">
        <v>18</v>
      </c>
      <c r="D34" t="s">
        <v>1108</v>
      </c>
      <c r="E34" t="s">
        <v>1109</v>
      </c>
      <c r="F34" t="s">
        <v>1110</v>
      </c>
      <c r="G34" t="s">
        <v>1111</v>
      </c>
      <c r="H34" t="s">
        <v>23</v>
      </c>
      <c r="I34" t="s">
        <v>932</v>
      </c>
      <c r="J34" t="s">
        <v>1112</v>
      </c>
      <c r="L34" t="s">
        <v>25</v>
      </c>
      <c r="M34" t="s">
        <v>1215</v>
      </c>
      <c r="N34" t="s">
        <v>830</v>
      </c>
    </row>
    <row r="35" spans="1:15" x14ac:dyDescent="0.3">
      <c r="A35" t="s">
        <v>934</v>
      </c>
      <c r="B35" t="s">
        <v>935</v>
      </c>
      <c r="C35" s="3">
        <v>17</v>
      </c>
      <c r="D35" t="s">
        <v>936</v>
      </c>
      <c r="E35" t="s">
        <v>937</v>
      </c>
      <c r="F35" t="s">
        <v>938</v>
      </c>
      <c r="G35" t="s">
        <v>939</v>
      </c>
      <c r="H35" t="s">
        <v>23</v>
      </c>
      <c r="I35" t="s">
        <v>932</v>
      </c>
      <c r="L35" t="s">
        <v>25</v>
      </c>
      <c r="M35" t="s">
        <v>1198</v>
      </c>
      <c r="N35" t="s">
        <v>830</v>
      </c>
    </row>
    <row r="36" spans="1:15" x14ac:dyDescent="0.3">
      <c r="A36" t="s">
        <v>987</v>
      </c>
      <c r="B36" t="s">
        <v>988</v>
      </c>
      <c r="C36" s="3">
        <v>16</v>
      </c>
      <c r="D36" t="s">
        <v>989</v>
      </c>
      <c r="E36" t="s">
        <v>990</v>
      </c>
      <c r="F36" t="s">
        <v>991</v>
      </c>
      <c r="G36" t="s">
        <v>992</v>
      </c>
      <c r="H36" t="s">
        <v>32</v>
      </c>
      <c r="I36" t="s">
        <v>932</v>
      </c>
      <c r="J36" t="s">
        <v>993</v>
      </c>
      <c r="L36" t="s">
        <v>25</v>
      </c>
      <c r="M36" t="s">
        <v>1205</v>
      </c>
      <c r="N36" t="s">
        <v>830</v>
      </c>
    </row>
    <row r="37" spans="1:15" x14ac:dyDescent="0.3">
      <c r="A37" t="s">
        <v>1006</v>
      </c>
      <c r="B37" t="s">
        <v>1007</v>
      </c>
      <c r="C37" s="3">
        <v>16</v>
      </c>
      <c r="D37" t="s">
        <v>1008</v>
      </c>
      <c r="E37" t="s">
        <v>1009</v>
      </c>
      <c r="F37" t="s">
        <v>1010</v>
      </c>
      <c r="G37" t="s">
        <v>1011</v>
      </c>
      <c r="H37" t="s">
        <v>32</v>
      </c>
      <c r="I37" t="s">
        <v>932</v>
      </c>
      <c r="J37" t="s">
        <v>1012</v>
      </c>
      <c r="K37" t="s">
        <v>1013</v>
      </c>
      <c r="L37" t="s">
        <v>25</v>
      </c>
      <c r="M37" t="s">
        <v>1207</v>
      </c>
      <c r="N37" t="s">
        <v>830</v>
      </c>
    </row>
    <row r="38" spans="1:15" x14ac:dyDescent="0.3">
      <c r="A38" t="s">
        <v>1176</v>
      </c>
      <c r="B38" t="s">
        <v>1177</v>
      </c>
      <c r="C38" s="3">
        <v>16</v>
      </c>
      <c r="D38" t="s">
        <v>1178</v>
      </c>
      <c r="E38" t="s">
        <v>1179</v>
      </c>
      <c r="F38" t="s">
        <v>1180</v>
      </c>
      <c r="G38" t="s">
        <v>1181</v>
      </c>
      <c r="H38" t="s">
        <v>32</v>
      </c>
      <c r="I38" t="s">
        <v>932</v>
      </c>
      <c r="L38" t="s">
        <v>25</v>
      </c>
      <c r="M38" t="s">
        <v>1223</v>
      </c>
      <c r="N38" t="s">
        <v>829</v>
      </c>
      <c r="O38" t="s">
        <v>1196</v>
      </c>
    </row>
    <row r="39" spans="1:15" x14ac:dyDescent="0.3">
      <c r="A39" t="s">
        <v>951</v>
      </c>
      <c r="B39" t="s">
        <v>952</v>
      </c>
      <c r="C39" s="3">
        <v>15</v>
      </c>
      <c r="D39" t="s">
        <v>953</v>
      </c>
      <c r="E39" t="s">
        <v>954</v>
      </c>
      <c r="F39" t="s">
        <v>955</v>
      </c>
      <c r="G39" t="s">
        <v>956</v>
      </c>
      <c r="H39" t="s">
        <v>32</v>
      </c>
      <c r="I39" t="s">
        <v>932</v>
      </c>
      <c r="L39" t="s">
        <v>25</v>
      </c>
      <c r="M39" t="s">
        <v>1200</v>
      </c>
      <c r="N39" t="s">
        <v>830</v>
      </c>
    </row>
    <row r="40" spans="1:15" x14ac:dyDescent="0.3">
      <c r="A40" t="s">
        <v>1157</v>
      </c>
      <c r="B40" t="s">
        <v>1158</v>
      </c>
      <c r="C40" s="3">
        <v>13</v>
      </c>
      <c r="D40" t="s">
        <v>1159</v>
      </c>
      <c r="E40" t="s">
        <v>1160</v>
      </c>
      <c r="F40" t="s">
        <v>1161</v>
      </c>
      <c r="G40" t="s">
        <v>1162</v>
      </c>
      <c r="H40" t="s">
        <v>23</v>
      </c>
      <c r="I40" t="s">
        <v>932</v>
      </c>
      <c r="L40" t="s">
        <v>25</v>
      </c>
      <c r="M40" t="s">
        <v>1220</v>
      </c>
      <c r="N40" t="s">
        <v>830</v>
      </c>
    </row>
    <row r="41" spans="1:15" x14ac:dyDescent="0.3">
      <c r="A41" t="s">
        <v>971</v>
      </c>
      <c r="B41" t="s">
        <v>972</v>
      </c>
      <c r="C41" s="3">
        <v>12</v>
      </c>
      <c r="D41" t="s">
        <v>973</v>
      </c>
      <c r="E41" t="s">
        <v>974</v>
      </c>
      <c r="F41" t="s">
        <v>208</v>
      </c>
      <c r="G41" t="s">
        <v>209</v>
      </c>
      <c r="H41" t="s">
        <v>23</v>
      </c>
      <c r="I41" t="s">
        <v>932</v>
      </c>
      <c r="L41" t="s">
        <v>25</v>
      </c>
      <c r="M41" t="s">
        <v>1202</v>
      </c>
      <c r="N41" t="s">
        <v>830</v>
      </c>
    </row>
    <row r="42" spans="1:15" x14ac:dyDescent="0.3">
      <c r="A42" t="s">
        <v>1014</v>
      </c>
      <c r="B42" t="s">
        <v>1015</v>
      </c>
      <c r="C42" s="3">
        <v>12</v>
      </c>
      <c r="D42" t="s">
        <v>1016</v>
      </c>
      <c r="E42" t="s">
        <v>1017</v>
      </c>
      <c r="F42" t="s">
        <v>1018</v>
      </c>
      <c r="G42" t="s">
        <v>1019</v>
      </c>
      <c r="H42" t="s">
        <v>23</v>
      </c>
      <c r="I42" t="s">
        <v>932</v>
      </c>
      <c r="J42" t="s">
        <v>1020</v>
      </c>
      <c r="L42" t="s">
        <v>25</v>
      </c>
      <c r="M42" t="s">
        <v>1208</v>
      </c>
      <c r="N42" t="s">
        <v>830</v>
      </c>
    </row>
    <row r="43" spans="1:15" x14ac:dyDescent="0.3">
      <c r="A43" t="s">
        <v>1078</v>
      </c>
      <c r="B43" t="s">
        <v>1079</v>
      </c>
      <c r="C43" s="3">
        <v>12</v>
      </c>
      <c r="D43" t="s">
        <v>1080</v>
      </c>
      <c r="E43" t="s">
        <v>1081</v>
      </c>
      <c r="F43" t="s">
        <v>1082</v>
      </c>
      <c r="G43" t="s">
        <v>1083</v>
      </c>
      <c r="H43" t="s">
        <v>32</v>
      </c>
      <c r="I43" t="s">
        <v>932</v>
      </c>
      <c r="L43" t="s">
        <v>25</v>
      </c>
      <c r="M43" t="s">
        <v>1213</v>
      </c>
      <c r="N43" t="s">
        <v>831</v>
      </c>
    </row>
  </sheetData>
  <sortState xmlns:xlrd2="http://schemas.microsoft.com/office/spreadsheetml/2017/richdata2" ref="A2:O43">
    <sortCondition descending="1" ref="C1:C43"/>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0E07-1455-4BAA-8FB7-CD609C918BE6}">
  <sheetPr codeName="Ark6"/>
  <dimension ref="A1:N6"/>
  <sheetViews>
    <sheetView workbookViewId="0">
      <selection activeCell="C1" sqref="C1:C1048576"/>
    </sheetView>
  </sheetViews>
  <sheetFormatPr defaultRowHeight="14.4" x14ac:dyDescent="0.3"/>
  <sheetData>
    <row r="1" spans="1:14" x14ac:dyDescent="0.3">
      <c r="A1" s="10" t="s">
        <v>9</v>
      </c>
      <c r="B1" s="10" t="s">
        <v>0</v>
      </c>
      <c r="C1" s="10" t="s">
        <v>732</v>
      </c>
      <c r="D1" s="10" t="s">
        <v>1</v>
      </c>
      <c r="E1" s="10" t="s">
        <v>2</v>
      </c>
      <c r="F1" s="10" t="s">
        <v>3</v>
      </c>
      <c r="G1" s="10" t="s">
        <v>4</v>
      </c>
      <c r="H1" s="10" t="s">
        <v>10</v>
      </c>
      <c r="I1" s="10" t="s">
        <v>5</v>
      </c>
      <c r="J1" s="10" t="s">
        <v>6</v>
      </c>
      <c r="K1" s="10" t="s">
        <v>7</v>
      </c>
      <c r="L1" s="10" t="s">
        <v>8</v>
      </c>
      <c r="M1" s="1" t="s">
        <v>736</v>
      </c>
      <c r="N1" s="10" t="s">
        <v>917</v>
      </c>
    </row>
    <row r="2" spans="1:14" x14ac:dyDescent="0.3">
      <c r="A2" t="s">
        <v>1247</v>
      </c>
      <c r="B2" t="s">
        <v>1248</v>
      </c>
      <c r="C2" s="3" t="s">
        <v>733</v>
      </c>
      <c r="D2" t="s">
        <v>1249</v>
      </c>
      <c r="E2" t="s">
        <v>1250</v>
      </c>
      <c r="F2" t="s">
        <v>492</v>
      </c>
      <c r="G2" t="s">
        <v>493</v>
      </c>
      <c r="H2" t="s">
        <v>23</v>
      </c>
      <c r="I2" t="s">
        <v>1245</v>
      </c>
      <c r="L2" t="s">
        <v>25</v>
      </c>
      <c r="M2" t="s">
        <v>1272</v>
      </c>
      <c r="N2" t="s">
        <v>830</v>
      </c>
    </row>
    <row r="3" spans="1:14" x14ac:dyDescent="0.3">
      <c r="A3" t="s">
        <v>1239</v>
      </c>
      <c r="B3" t="s">
        <v>1240</v>
      </c>
      <c r="C3" s="3">
        <v>143</v>
      </c>
      <c r="D3" t="s">
        <v>1241</v>
      </c>
      <c r="E3" t="s">
        <v>1242</v>
      </c>
      <c r="F3" t="s">
        <v>1243</v>
      </c>
      <c r="G3" t="s">
        <v>1244</v>
      </c>
      <c r="H3" t="s">
        <v>32</v>
      </c>
      <c r="I3" t="s">
        <v>1245</v>
      </c>
      <c r="J3" t="s">
        <v>1246</v>
      </c>
      <c r="L3" t="s">
        <v>25</v>
      </c>
      <c r="M3" t="s">
        <v>1271</v>
      </c>
      <c r="N3" t="s">
        <v>831</v>
      </c>
    </row>
    <row r="4" spans="1:14" x14ac:dyDescent="0.3">
      <c r="A4" t="s">
        <v>1264</v>
      </c>
      <c r="B4" t="s">
        <v>1265</v>
      </c>
      <c r="C4" s="3">
        <v>127</v>
      </c>
      <c r="D4" t="s">
        <v>1266</v>
      </c>
      <c r="E4" t="s">
        <v>1267</v>
      </c>
      <c r="F4" t="s">
        <v>1268</v>
      </c>
      <c r="G4" t="s">
        <v>1269</v>
      </c>
      <c r="H4" t="s">
        <v>32</v>
      </c>
      <c r="I4" t="s">
        <v>1245</v>
      </c>
      <c r="J4" t="s">
        <v>1270</v>
      </c>
      <c r="L4" t="s">
        <v>25</v>
      </c>
      <c r="M4" t="s">
        <v>1197</v>
      </c>
      <c r="N4" t="s">
        <v>830</v>
      </c>
    </row>
    <row r="5" spans="1:14" x14ac:dyDescent="0.3">
      <c r="A5" t="s">
        <v>1257</v>
      </c>
      <c r="B5" t="s">
        <v>1258</v>
      </c>
      <c r="C5" s="3">
        <v>38</v>
      </c>
      <c r="D5" t="s">
        <v>1259</v>
      </c>
      <c r="E5" t="s">
        <v>1260</v>
      </c>
      <c r="F5" t="s">
        <v>1261</v>
      </c>
      <c r="G5" t="s">
        <v>1262</v>
      </c>
      <c r="H5" t="s">
        <v>32</v>
      </c>
      <c r="I5" t="s">
        <v>1245</v>
      </c>
      <c r="J5" t="s">
        <v>1263</v>
      </c>
      <c r="L5" t="s">
        <v>25</v>
      </c>
      <c r="M5" t="s">
        <v>1274</v>
      </c>
      <c r="N5" t="s">
        <v>829</v>
      </c>
    </row>
    <row r="6" spans="1:14" x14ac:dyDescent="0.3">
      <c r="A6" t="s">
        <v>1251</v>
      </c>
      <c r="B6" t="s">
        <v>1252</v>
      </c>
      <c r="C6" s="3">
        <v>19</v>
      </c>
      <c r="D6" t="s">
        <v>1253</v>
      </c>
      <c r="E6" t="s">
        <v>1254</v>
      </c>
      <c r="F6" t="s">
        <v>1255</v>
      </c>
      <c r="G6" t="s">
        <v>1256</v>
      </c>
      <c r="H6" t="s">
        <v>23</v>
      </c>
      <c r="I6" t="s">
        <v>1245</v>
      </c>
      <c r="L6" t="s">
        <v>25</v>
      </c>
      <c r="M6" t="s">
        <v>1273</v>
      </c>
      <c r="N6" t="s">
        <v>831</v>
      </c>
    </row>
  </sheetData>
  <sortState xmlns:xlrd2="http://schemas.microsoft.com/office/spreadsheetml/2017/richdata2" ref="A2:N6">
    <sortCondition descending="1" ref="C1:C6"/>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6FC8C-BAF4-40B5-9C37-443F4703F0FE}">
  <sheetPr codeName="Ark7"/>
  <dimension ref="A1:N8"/>
  <sheetViews>
    <sheetView workbookViewId="0">
      <selection activeCell="C1" sqref="C1:C1048576"/>
    </sheetView>
  </sheetViews>
  <sheetFormatPr defaultRowHeight="14.4" x14ac:dyDescent="0.3"/>
  <sheetData>
    <row r="1" spans="1:14" x14ac:dyDescent="0.3">
      <c r="A1" s="10" t="s">
        <v>9</v>
      </c>
      <c r="B1" s="10" t="s">
        <v>0</v>
      </c>
      <c r="C1" s="10" t="s">
        <v>732</v>
      </c>
      <c r="D1" s="10" t="s">
        <v>1</v>
      </c>
      <c r="E1" s="10" t="s">
        <v>2</v>
      </c>
      <c r="F1" s="10" t="s">
        <v>3</v>
      </c>
      <c r="G1" s="10" t="s">
        <v>4</v>
      </c>
      <c r="H1" s="10" t="s">
        <v>10</v>
      </c>
      <c r="I1" s="10" t="s">
        <v>5</v>
      </c>
      <c r="J1" s="10" t="s">
        <v>6</v>
      </c>
      <c r="K1" s="10" t="s">
        <v>7</v>
      </c>
      <c r="L1" s="10" t="s">
        <v>8</v>
      </c>
      <c r="M1" s="1" t="s">
        <v>736</v>
      </c>
      <c r="N1" s="10" t="s">
        <v>917</v>
      </c>
    </row>
    <row r="2" spans="1:14" x14ac:dyDescent="0.3">
      <c r="A2" t="s">
        <v>1288</v>
      </c>
      <c r="B2" t="s">
        <v>1289</v>
      </c>
      <c r="C2" s="3" t="s">
        <v>733</v>
      </c>
      <c r="D2" t="s">
        <v>1290</v>
      </c>
      <c r="E2" t="s">
        <v>1291</v>
      </c>
      <c r="F2" t="s">
        <v>1292</v>
      </c>
      <c r="G2" t="s">
        <v>1293</v>
      </c>
      <c r="H2" t="s">
        <v>23</v>
      </c>
      <c r="I2" t="s">
        <v>1281</v>
      </c>
      <c r="L2" t="s">
        <v>25</v>
      </c>
      <c r="M2" t="s">
        <v>1322</v>
      </c>
      <c r="N2" t="s">
        <v>830</v>
      </c>
    </row>
    <row r="3" spans="1:14" x14ac:dyDescent="0.3">
      <c r="A3" t="s">
        <v>1313</v>
      </c>
      <c r="B3" t="s">
        <v>1314</v>
      </c>
      <c r="C3" s="3">
        <v>382</v>
      </c>
      <c r="D3" t="s">
        <v>1315</v>
      </c>
      <c r="E3" t="s">
        <v>1316</v>
      </c>
      <c r="F3" t="s">
        <v>1317</v>
      </c>
      <c r="G3" t="s">
        <v>1318</v>
      </c>
      <c r="H3" t="s">
        <v>32</v>
      </c>
      <c r="I3" t="s">
        <v>1281</v>
      </c>
      <c r="J3" t="s">
        <v>1319</v>
      </c>
      <c r="L3" t="s">
        <v>25</v>
      </c>
      <c r="M3" t="s">
        <v>1326</v>
      </c>
      <c r="N3" t="s">
        <v>835</v>
      </c>
    </row>
    <row r="4" spans="1:14" x14ac:dyDescent="0.3">
      <c r="A4" t="s">
        <v>1294</v>
      </c>
      <c r="B4" t="s">
        <v>1295</v>
      </c>
      <c r="C4" s="3">
        <v>201</v>
      </c>
      <c r="D4" t="s">
        <v>1296</v>
      </c>
      <c r="E4" t="s">
        <v>1297</v>
      </c>
      <c r="F4" t="s">
        <v>114</v>
      </c>
      <c r="G4" t="s">
        <v>115</v>
      </c>
      <c r="H4" t="s">
        <v>32</v>
      </c>
      <c r="I4" t="s">
        <v>1281</v>
      </c>
      <c r="J4" t="s">
        <v>1298</v>
      </c>
      <c r="L4" t="s">
        <v>25</v>
      </c>
      <c r="M4" t="s">
        <v>1323</v>
      </c>
      <c r="N4" t="s">
        <v>835</v>
      </c>
    </row>
    <row r="5" spans="1:14" x14ac:dyDescent="0.3">
      <c r="A5" t="s">
        <v>1299</v>
      </c>
      <c r="B5" t="s">
        <v>1300</v>
      </c>
      <c r="C5" s="3">
        <v>176</v>
      </c>
      <c r="D5" t="s">
        <v>1301</v>
      </c>
      <c r="E5" t="s">
        <v>1302</v>
      </c>
      <c r="F5" t="s">
        <v>1303</v>
      </c>
      <c r="G5" t="s">
        <v>1304</v>
      </c>
      <c r="H5" t="s">
        <v>32</v>
      </c>
      <c r="I5" t="s">
        <v>1281</v>
      </c>
      <c r="J5" t="s">
        <v>1305</v>
      </c>
      <c r="K5" t="s">
        <v>1306</v>
      </c>
      <c r="L5" t="s">
        <v>25</v>
      </c>
      <c r="M5" t="s">
        <v>1324</v>
      </c>
      <c r="N5" t="s">
        <v>831</v>
      </c>
    </row>
    <row r="6" spans="1:14" x14ac:dyDescent="0.3">
      <c r="A6" t="s">
        <v>1283</v>
      </c>
      <c r="B6" t="s">
        <v>1284</v>
      </c>
      <c r="C6" s="3">
        <v>126</v>
      </c>
      <c r="D6" t="s">
        <v>1285</v>
      </c>
      <c r="E6" t="s">
        <v>1286</v>
      </c>
      <c r="F6" t="s">
        <v>420</v>
      </c>
      <c r="G6" t="s">
        <v>421</v>
      </c>
      <c r="H6" t="s">
        <v>32</v>
      </c>
      <c r="I6" t="s">
        <v>1281</v>
      </c>
      <c r="J6" t="s">
        <v>1287</v>
      </c>
      <c r="L6" t="s">
        <v>25</v>
      </c>
      <c r="M6" t="s">
        <v>1321</v>
      </c>
      <c r="N6" t="s">
        <v>835</v>
      </c>
    </row>
    <row r="7" spans="1:14" x14ac:dyDescent="0.3">
      <c r="A7" t="s">
        <v>1307</v>
      </c>
      <c r="B7" t="s">
        <v>1308</v>
      </c>
      <c r="C7" s="3">
        <v>120</v>
      </c>
      <c r="D7" t="s">
        <v>1309</v>
      </c>
      <c r="E7" t="s">
        <v>1310</v>
      </c>
      <c r="F7" t="s">
        <v>515</v>
      </c>
      <c r="G7" t="s">
        <v>516</v>
      </c>
      <c r="H7" t="s">
        <v>23</v>
      </c>
      <c r="I7" t="s">
        <v>1281</v>
      </c>
      <c r="J7" t="s">
        <v>1311</v>
      </c>
      <c r="K7" t="s">
        <v>1312</v>
      </c>
      <c r="L7" t="s">
        <v>25</v>
      </c>
      <c r="M7" t="s">
        <v>1325</v>
      </c>
      <c r="N7" t="s">
        <v>835</v>
      </c>
    </row>
    <row r="8" spans="1:14" x14ac:dyDescent="0.3">
      <c r="A8" t="s">
        <v>1275</v>
      </c>
      <c r="B8" t="s">
        <v>1276</v>
      </c>
      <c r="C8" s="3">
        <v>70</v>
      </c>
      <c r="D8" t="s">
        <v>1277</v>
      </c>
      <c r="E8" t="s">
        <v>1278</v>
      </c>
      <c r="F8" t="s">
        <v>1279</v>
      </c>
      <c r="G8" t="s">
        <v>1280</v>
      </c>
      <c r="H8" t="s">
        <v>32</v>
      </c>
      <c r="I8" t="s">
        <v>1281</v>
      </c>
      <c r="J8" t="s">
        <v>1282</v>
      </c>
      <c r="L8" t="s">
        <v>25</v>
      </c>
      <c r="M8" t="s">
        <v>1320</v>
      </c>
      <c r="N8" t="s">
        <v>831</v>
      </c>
    </row>
  </sheetData>
  <sortState xmlns:xlrd2="http://schemas.microsoft.com/office/spreadsheetml/2017/richdata2" ref="A2:N8">
    <sortCondition descending="1" ref="C1:C8"/>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D814A-919B-447A-870A-BADA2EB4C1E1}">
  <sheetPr codeName="Ark8"/>
  <dimension ref="A1:N21"/>
  <sheetViews>
    <sheetView workbookViewId="0">
      <selection activeCell="C1" sqref="C1:C1048576"/>
    </sheetView>
  </sheetViews>
  <sheetFormatPr defaultRowHeight="14.4" x14ac:dyDescent="0.3"/>
  <sheetData>
    <row r="1" spans="1:14" x14ac:dyDescent="0.3">
      <c r="A1" s="10" t="s">
        <v>9</v>
      </c>
      <c r="B1" s="10" t="s">
        <v>0</v>
      </c>
      <c r="C1" s="10" t="s">
        <v>732</v>
      </c>
      <c r="D1" s="10" t="s">
        <v>1</v>
      </c>
      <c r="E1" s="10" t="s">
        <v>2</v>
      </c>
      <c r="F1" s="10" t="s">
        <v>3</v>
      </c>
      <c r="G1" s="10" t="s">
        <v>4</v>
      </c>
      <c r="H1" s="10" t="s">
        <v>10</v>
      </c>
      <c r="I1" s="10" t="s">
        <v>5</v>
      </c>
      <c r="J1" s="10" t="s">
        <v>6</v>
      </c>
      <c r="K1" s="10" t="s">
        <v>7</v>
      </c>
      <c r="L1" s="10" t="s">
        <v>8</v>
      </c>
      <c r="M1" s="1" t="s">
        <v>736</v>
      </c>
      <c r="N1" s="10" t="s">
        <v>917</v>
      </c>
    </row>
    <row r="2" spans="1:14" x14ac:dyDescent="0.3">
      <c r="A2" t="s">
        <v>1381</v>
      </c>
      <c r="B2" t="s">
        <v>1382</v>
      </c>
      <c r="C2" s="3" t="s">
        <v>733</v>
      </c>
      <c r="D2" t="s">
        <v>1383</v>
      </c>
      <c r="E2" t="s">
        <v>1384</v>
      </c>
      <c r="F2" t="s">
        <v>1385</v>
      </c>
      <c r="G2" t="s">
        <v>1386</v>
      </c>
      <c r="H2" t="s">
        <v>32</v>
      </c>
      <c r="I2" t="s">
        <v>1331</v>
      </c>
      <c r="J2" t="s">
        <v>1387</v>
      </c>
      <c r="L2" t="s">
        <v>25</v>
      </c>
      <c r="M2" t="s">
        <v>1455</v>
      </c>
      <c r="N2" t="s">
        <v>830</v>
      </c>
    </row>
    <row r="3" spans="1:14" x14ac:dyDescent="0.3">
      <c r="A3" t="s">
        <v>1388</v>
      </c>
      <c r="B3" t="s">
        <v>275</v>
      </c>
      <c r="C3" s="3" t="s">
        <v>733</v>
      </c>
      <c r="D3" t="s">
        <v>1389</v>
      </c>
      <c r="E3" t="s">
        <v>1390</v>
      </c>
      <c r="F3" t="s">
        <v>1391</v>
      </c>
      <c r="G3" t="s">
        <v>1392</v>
      </c>
      <c r="H3" t="s">
        <v>23</v>
      </c>
      <c r="I3" t="s">
        <v>1331</v>
      </c>
      <c r="J3" t="s">
        <v>1393</v>
      </c>
      <c r="L3" t="s">
        <v>25</v>
      </c>
      <c r="M3" t="s">
        <v>1456</v>
      </c>
      <c r="N3" t="s">
        <v>830</v>
      </c>
    </row>
    <row r="4" spans="1:14" x14ac:dyDescent="0.3">
      <c r="A4" t="s">
        <v>1348</v>
      </c>
      <c r="B4" t="s">
        <v>1349</v>
      </c>
      <c r="C4" s="3">
        <v>113</v>
      </c>
      <c r="D4" t="s">
        <v>1350</v>
      </c>
      <c r="E4" t="s">
        <v>1351</v>
      </c>
      <c r="F4" t="s">
        <v>1180</v>
      </c>
      <c r="G4" t="s">
        <v>1181</v>
      </c>
      <c r="H4" t="s">
        <v>32</v>
      </c>
      <c r="I4" t="s">
        <v>1331</v>
      </c>
      <c r="J4" t="s">
        <v>1352</v>
      </c>
      <c r="K4" t="s">
        <v>1353</v>
      </c>
      <c r="L4" t="s">
        <v>25</v>
      </c>
      <c r="M4" t="s">
        <v>1450</v>
      </c>
      <c r="N4" t="s">
        <v>831</v>
      </c>
    </row>
    <row r="5" spans="1:14" x14ac:dyDescent="0.3">
      <c r="A5" t="s">
        <v>1360</v>
      </c>
      <c r="B5" t="s">
        <v>1361</v>
      </c>
      <c r="C5" s="3">
        <v>111</v>
      </c>
      <c r="D5" t="s">
        <v>1362</v>
      </c>
      <c r="E5" t="s">
        <v>1363</v>
      </c>
      <c r="F5" t="s">
        <v>1364</v>
      </c>
      <c r="G5" t="s">
        <v>1365</v>
      </c>
      <c r="H5" t="s">
        <v>32</v>
      </c>
      <c r="I5" t="s">
        <v>1331</v>
      </c>
      <c r="J5" t="s">
        <v>1366</v>
      </c>
      <c r="L5" t="s">
        <v>25</v>
      </c>
      <c r="M5" t="s">
        <v>1452</v>
      </c>
      <c r="N5" t="s">
        <v>831</v>
      </c>
    </row>
    <row r="6" spans="1:14" x14ac:dyDescent="0.3">
      <c r="A6" t="s">
        <v>1375</v>
      </c>
      <c r="B6" t="s">
        <v>1376</v>
      </c>
      <c r="C6" s="3">
        <v>72</v>
      </c>
      <c r="D6" t="s">
        <v>1377</v>
      </c>
      <c r="E6" t="s">
        <v>1378</v>
      </c>
      <c r="F6" t="s">
        <v>515</v>
      </c>
      <c r="G6" t="s">
        <v>516</v>
      </c>
      <c r="H6" t="s">
        <v>32</v>
      </c>
      <c r="I6" t="s">
        <v>1331</v>
      </c>
      <c r="J6" t="s">
        <v>1379</v>
      </c>
      <c r="K6" t="s">
        <v>1380</v>
      </c>
      <c r="L6" t="s">
        <v>25</v>
      </c>
      <c r="M6" t="s">
        <v>1454</v>
      </c>
      <c r="N6" t="s">
        <v>831</v>
      </c>
    </row>
    <row r="7" spans="1:14" x14ac:dyDescent="0.3">
      <c r="A7" t="s">
        <v>1399</v>
      </c>
      <c r="B7" t="s">
        <v>1400</v>
      </c>
      <c r="C7" s="3">
        <v>59</v>
      </c>
      <c r="D7" t="s">
        <v>1401</v>
      </c>
      <c r="E7" t="s">
        <v>1402</v>
      </c>
      <c r="F7" t="s">
        <v>1279</v>
      </c>
      <c r="G7" t="s">
        <v>1280</v>
      </c>
      <c r="H7" t="s">
        <v>32</v>
      </c>
      <c r="I7" t="s">
        <v>1331</v>
      </c>
      <c r="J7" t="s">
        <v>1403</v>
      </c>
      <c r="L7" t="s">
        <v>25</v>
      </c>
      <c r="M7" t="s">
        <v>1458</v>
      </c>
      <c r="N7" t="s">
        <v>830</v>
      </c>
    </row>
    <row r="8" spans="1:14" x14ac:dyDescent="0.3">
      <c r="A8" t="s">
        <v>1340</v>
      </c>
      <c r="B8" t="s">
        <v>1341</v>
      </c>
      <c r="C8" s="3">
        <v>55</v>
      </c>
      <c r="D8" t="s">
        <v>1342</v>
      </c>
      <c r="E8" t="s">
        <v>1343</v>
      </c>
      <c r="F8" t="s">
        <v>1344</v>
      </c>
      <c r="G8" t="s">
        <v>1345</v>
      </c>
      <c r="H8" t="s">
        <v>23</v>
      </c>
      <c r="I8" t="s">
        <v>1331</v>
      </c>
      <c r="J8" t="s">
        <v>1346</v>
      </c>
      <c r="K8" t="s">
        <v>1347</v>
      </c>
      <c r="L8" t="s">
        <v>25</v>
      </c>
      <c r="M8" t="s">
        <v>1208</v>
      </c>
      <c r="N8" t="s">
        <v>830</v>
      </c>
    </row>
    <row r="9" spans="1:14" x14ac:dyDescent="0.3">
      <c r="A9" t="s">
        <v>1439</v>
      </c>
      <c r="B9" t="s">
        <v>1440</v>
      </c>
      <c r="C9" s="3">
        <v>51</v>
      </c>
      <c r="D9" t="s">
        <v>1441</v>
      </c>
      <c r="E9" t="s">
        <v>1442</v>
      </c>
      <c r="F9" t="s">
        <v>955</v>
      </c>
      <c r="G9" t="s">
        <v>956</v>
      </c>
      <c r="H9" t="s">
        <v>32</v>
      </c>
      <c r="I9" t="s">
        <v>1331</v>
      </c>
      <c r="L9" t="s">
        <v>25</v>
      </c>
      <c r="M9" t="s">
        <v>1465</v>
      </c>
      <c r="N9" t="s">
        <v>830</v>
      </c>
    </row>
    <row r="10" spans="1:14" x14ac:dyDescent="0.3">
      <c r="A10" t="s">
        <v>1332</v>
      </c>
      <c r="B10" t="s">
        <v>1333</v>
      </c>
      <c r="C10" s="3">
        <v>50</v>
      </c>
      <c r="D10" t="s">
        <v>1334</v>
      </c>
      <c r="E10" t="s">
        <v>1335</v>
      </c>
      <c r="F10" t="s">
        <v>1336</v>
      </c>
      <c r="G10" t="s">
        <v>1337</v>
      </c>
      <c r="H10" t="s">
        <v>32</v>
      </c>
      <c r="I10" t="s">
        <v>1331</v>
      </c>
      <c r="J10" t="s">
        <v>1338</v>
      </c>
      <c r="K10" t="s">
        <v>1339</v>
      </c>
      <c r="L10" t="s">
        <v>25</v>
      </c>
      <c r="M10" t="s">
        <v>1449</v>
      </c>
      <c r="N10" t="s">
        <v>831</v>
      </c>
    </row>
    <row r="11" spans="1:14" x14ac:dyDescent="0.3">
      <c r="A11" t="s">
        <v>1433</v>
      </c>
      <c r="B11" t="s">
        <v>1434</v>
      </c>
      <c r="C11" s="3">
        <v>46</v>
      </c>
      <c r="D11" t="s">
        <v>1435</v>
      </c>
      <c r="E11" t="s">
        <v>1436</v>
      </c>
      <c r="F11" t="s">
        <v>687</v>
      </c>
      <c r="G11" t="s">
        <v>688</v>
      </c>
      <c r="H11" t="s">
        <v>23</v>
      </c>
      <c r="I11" t="s">
        <v>1331</v>
      </c>
      <c r="J11" t="s">
        <v>1437</v>
      </c>
      <c r="K11" t="s">
        <v>1438</v>
      </c>
      <c r="L11" t="s">
        <v>25</v>
      </c>
      <c r="M11" t="s">
        <v>1464</v>
      </c>
      <c r="N11" t="s">
        <v>830</v>
      </c>
    </row>
    <row r="12" spans="1:14" x14ac:dyDescent="0.3">
      <c r="A12" t="s">
        <v>1410</v>
      </c>
      <c r="B12" t="s">
        <v>1411</v>
      </c>
      <c r="C12" s="3">
        <v>43</v>
      </c>
      <c r="D12" t="s">
        <v>1412</v>
      </c>
      <c r="E12" t="s">
        <v>1413</v>
      </c>
      <c r="F12" t="s">
        <v>179</v>
      </c>
      <c r="G12" t="s">
        <v>180</v>
      </c>
      <c r="H12" t="s">
        <v>32</v>
      </c>
      <c r="I12" t="s">
        <v>1331</v>
      </c>
      <c r="L12" t="s">
        <v>25</v>
      </c>
      <c r="M12" t="s">
        <v>1460</v>
      </c>
      <c r="N12" t="s">
        <v>829</v>
      </c>
    </row>
    <row r="13" spans="1:14" x14ac:dyDescent="0.3">
      <c r="A13" t="s">
        <v>1426</v>
      </c>
      <c r="B13" t="s">
        <v>690</v>
      </c>
      <c r="C13" s="3">
        <v>43</v>
      </c>
      <c r="D13" t="s">
        <v>1427</v>
      </c>
      <c r="E13" t="s">
        <v>1428</v>
      </c>
      <c r="F13" t="s">
        <v>1429</v>
      </c>
      <c r="G13" t="s">
        <v>1430</v>
      </c>
      <c r="H13" t="s">
        <v>23</v>
      </c>
      <c r="I13" t="s">
        <v>1331</v>
      </c>
      <c r="J13" t="s">
        <v>1431</v>
      </c>
      <c r="K13" t="s">
        <v>1432</v>
      </c>
      <c r="L13" t="s">
        <v>25</v>
      </c>
      <c r="M13" t="s">
        <v>1463</v>
      </c>
      <c r="N13" t="s">
        <v>830</v>
      </c>
    </row>
    <row r="14" spans="1:14" x14ac:dyDescent="0.3">
      <c r="A14" t="s">
        <v>1404</v>
      </c>
      <c r="B14" t="s">
        <v>1405</v>
      </c>
      <c r="C14" s="3">
        <v>40</v>
      </c>
      <c r="D14" t="s">
        <v>1406</v>
      </c>
      <c r="E14" t="s">
        <v>1407</v>
      </c>
      <c r="F14" t="s">
        <v>1408</v>
      </c>
      <c r="G14" t="s">
        <v>1409</v>
      </c>
      <c r="H14" t="s">
        <v>32</v>
      </c>
      <c r="I14" t="s">
        <v>1331</v>
      </c>
      <c r="L14" t="s">
        <v>25</v>
      </c>
      <c r="M14" t="s">
        <v>1459</v>
      </c>
      <c r="N14" t="s">
        <v>831</v>
      </c>
    </row>
    <row r="15" spans="1:14" x14ac:dyDescent="0.3">
      <c r="A15" t="s">
        <v>1422</v>
      </c>
      <c r="B15" t="s">
        <v>1423</v>
      </c>
      <c r="C15" s="3">
        <v>33</v>
      </c>
      <c r="D15" t="s">
        <v>1424</v>
      </c>
      <c r="E15" t="s">
        <v>1425</v>
      </c>
      <c r="F15" t="s">
        <v>529</v>
      </c>
      <c r="G15" t="s">
        <v>530</v>
      </c>
      <c r="H15" t="s">
        <v>23</v>
      </c>
      <c r="I15" t="s">
        <v>1331</v>
      </c>
      <c r="L15" t="s">
        <v>25</v>
      </c>
      <c r="M15" t="s">
        <v>1462</v>
      </c>
      <c r="N15" t="s">
        <v>829</v>
      </c>
    </row>
    <row r="16" spans="1:14" x14ac:dyDescent="0.3">
      <c r="A16" t="s">
        <v>1354</v>
      </c>
      <c r="B16" t="s">
        <v>1355</v>
      </c>
      <c r="C16" s="3">
        <v>26</v>
      </c>
      <c r="D16" t="s">
        <v>1356</v>
      </c>
      <c r="E16" t="s">
        <v>1357</v>
      </c>
      <c r="F16" t="s">
        <v>264</v>
      </c>
      <c r="G16" t="s">
        <v>265</v>
      </c>
      <c r="H16" t="s">
        <v>32</v>
      </c>
      <c r="I16" t="s">
        <v>1331</v>
      </c>
      <c r="J16" t="s">
        <v>1358</v>
      </c>
      <c r="K16" t="s">
        <v>1359</v>
      </c>
      <c r="L16" t="s">
        <v>25</v>
      </c>
      <c r="M16" t="s">
        <v>1451</v>
      </c>
      <c r="N16" t="s">
        <v>830</v>
      </c>
    </row>
    <row r="17" spans="1:14" x14ac:dyDescent="0.3">
      <c r="A17" t="s">
        <v>1414</v>
      </c>
      <c r="B17" t="s">
        <v>1415</v>
      </c>
      <c r="C17" s="3">
        <v>25</v>
      </c>
      <c r="D17" t="s">
        <v>1416</v>
      </c>
      <c r="E17" t="s">
        <v>1417</v>
      </c>
      <c r="F17" t="s">
        <v>1418</v>
      </c>
      <c r="G17" t="s">
        <v>1419</v>
      </c>
      <c r="H17" t="s">
        <v>32</v>
      </c>
      <c r="I17" t="s">
        <v>1331</v>
      </c>
      <c r="J17" t="s">
        <v>1420</v>
      </c>
      <c r="K17" t="s">
        <v>1421</v>
      </c>
      <c r="L17" t="s">
        <v>25</v>
      </c>
      <c r="M17" t="s">
        <v>1461</v>
      </c>
      <c r="N17" t="s">
        <v>831</v>
      </c>
    </row>
    <row r="18" spans="1:14" x14ac:dyDescent="0.3">
      <c r="A18" t="s">
        <v>1367</v>
      </c>
      <c r="B18" t="s">
        <v>1368</v>
      </c>
      <c r="C18" s="3">
        <v>24</v>
      </c>
      <c r="D18" t="s">
        <v>1369</v>
      </c>
      <c r="E18" t="s">
        <v>1370</v>
      </c>
      <c r="F18" t="s">
        <v>1371</v>
      </c>
      <c r="G18" t="s">
        <v>1372</v>
      </c>
      <c r="H18" t="s">
        <v>23</v>
      </c>
      <c r="I18" t="s">
        <v>1331</v>
      </c>
      <c r="J18" t="s">
        <v>1373</v>
      </c>
      <c r="K18" t="s">
        <v>1374</v>
      </c>
      <c r="L18" t="s">
        <v>25</v>
      </c>
      <c r="M18" t="s">
        <v>1453</v>
      </c>
      <c r="N18" t="s">
        <v>830</v>
      </c>
    </row>
    <row r="19" spans="1:14" x14ac:dyDescent="0.3">
      <c r="A19" t="s">
        <v>1443</v>
      </c>
      <c r="B19" t="s">
        <v>1444</v>
      </c>
      <c r="C19" s="3">
        <v>22</v>
      </c>
      <c r="D19" t="s">
        <v>1445</v>
      </c>
      <c r="E19" t="s">
        <v>1446</v>
      </c>
      <c r="F19" t="s">
        <v>640</v>
      </c>
      <c r="G19" t="s">
        <v>641</v>
      </c>
      <c r="H19" t="s">
        <v>32</v>
      </c>
      <c r="I19" t="s">
        <v>1331</v>
      </c>
      <c r="J19" t="s">
        <v>1447</v>
      </c>
      <c r="K19" t="s">
        <v>1448</v>
      </c>
      <c r="L19" t="s">
        <v>25</v>
      </c>
      <c r="M19" t="s">
        <v>1466</v>
      </c>
      <c r="N19" t="s">
        <v>830</v>
      </c>
    </row>
    <row r="20" spans="1:14" x14ac:dyDescent="0.3">
      <c r="A20" t="s">
        <v>1327</v>
      </c>
      <c r="B20" t="s">
        <v>1328</v>
      </c>
      <c r="C20" s="3">
        <v>14</v>
      </c>
      <c r="D20" t="s">
        <v>1329</v>
      </c>
      <c r="E20" t="s">
        <v>1330</v>
      </c>
      <c r="F20" t="s">
        <v>249</v>
      </c>
      <c r="G20" t="s">
        <v>250</v>
      </c>
      <c r="H20" t="s">
        <v>23</v>
      </c>
      <c r="I20" t="s">
        <v>1331</v>
      </c>
      <c r="L20" t="s">
        <v>25</v>
      </c>
      <c r="M20" t="s">
        <v>1206</v>
      </c>
      <c r="N20" t="s">
        <v>831</v>
      </c>
    </row>
    <row r="21" spans="1:14" x14ac:dyDescent="0.3">
      <c r="A21" t="s">
        <v>1394</v>
      </c>
      <c r="B21" t="s">
        <v>1368</v>
      </c>
      <c r="C21" s="3">
        <v>13</v>
      </c>
      <c r="D21" t="s">
        <v>1395</v>
      </c>
      <c r="E21" t="s">
        <v>1396</v>
      </c>
      <c r="F21" t="s">
        <v>1397</v>
      </c>
      <c r="G21" t="s">
        <v>1398</v>
      </c>
      <c r="H21" t="s">
        <v>23</v>
      </c>
      <c r="I21" t="s">
        <v>1331</v>
      </c>
      <c r="L21" t="s">
        <v>25</v>
      </c>
      <c r="M21" t="s">
        <v>1457</v>
      </c>
      <c r="N21" t="s">
        <v>832</v>
      </c>
    </row>
  </sheetData>
  <sortState xmlns:xlrd2="http://schemas.microsoft.com/office/spreadsheetml/2017/richdata2" ref="A2:N21">
    <sortCondition descending="1" ref="C1:C21"/>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8BE7B-B13B-42CC-BD3A-26706862D960}">
  <sheetPr codeName="Ark9"/>
  <dimension ref="A1:N67"/>
  <sheetViews>
    <sheetView topLeftCell="T5" workbookViewId="0">
      <selection activeCell="C25" sqref="C25"/>
    </sheetView>
  </sheetViews>
  <sheetFormatPr defaultRowHeight="14.4" x14ac:dyDescent="0.3"/>
  <sheetData>
    <row r="1" spans="1:14" x14ac:dyDescent="0.3">
      <c r="A1" s="10" t="s">
        <v>9</v>
      </c>
      <c r="B1" s="10" t="s">
        <v>0</v>
      </c>
      <c r="C1" s="10" t="s">
        <v>732</v>
      </c>
      <c r="D1" s="10" t="s">
        <v>1</v>
      </c>
      <c r="E1" s="10" t="s">
        <v>2</v>
      </c>
      <c r="F1" s="10" t="s">
        <v>3</v>
      </c>
      <c r="G1" s="10" t="s">
        <v>4</v>
      </c>
      <c r="H1" s="10" t="s">
        <v>10</v>
      </c>
      <c r="I1" s="10" t="s">
        <v>5</v>
      </c>
      <c r="J1" s="10" t="s">
        <v>6</v>
      </c>
      <c r="K1" s="10" t="s">
        <v>7</v>
      </c>
      <c r="L1" s="10" t="s">
        <v>8</v>
      </c>
      <c r="M1" s="1" t="s">
        <v>736</v>
      </c>
      <c r="N1" s="10" t="s">
        <v>917</v>
      </c>
    </row>
    <row r="2" spans="1:14" x14ac:dyDescent="0.3">
      <c r="A2" t="s">
        <v>1489</v>
      </c>
      <c r="B2" t="s">
        <v>1490</v>
      </c>
      <c r="C2" t="s">
        <v>733</v>
      </c>
      <c r="D2" t="s">
        <v>1491</v>
      </c>
      <c r="E2" t="s">
        <v>1492</v>
      </c>
      <c r="F2" t="s">
        <v>1493</v>
      </c>
      <c r="G2" t="s">
        <v>1494</v>
      </c>
      <c r="H2" t="s">
        <v>23</v>
      </c>
      <c r="I2" t="s">
        <v>1472</v>
      </c>
      <c r="J2" t="s">
        <v>1495</v>
      </c>
      <c r="L2" t="s">
        <v>25</v>
      </c>
      <c r="M2" t="s">
        <v>1855</v>
      </c>
      <c r="N2" t="s">
        <v>832</v>
      </c>
    </row>
    <row r="3" spans="1:14" x14ac:dyDescent="0.3">
      <c r="A3" t="s">
        <v>1668</v>
      </c>
      <c r="B3" t="s">
        <v>1669</v>
      </c>
      <c r="C3" t="s">
        <v>733</v>
      </c>
      <c r="D3" t="s">
        <v>1670</v>
      </c>
      <c r="E3" t="s">
        <v>1671</v>
      </c>
      <c r="F3" t="s">
        <v>1075</v>
      </c>
      <c r="G3" t="s">
        <v>1076</v>
      </c>
      <c r="H3" t="s">
        <v>23</v>
      </c>
      <c r="I3" t="s">
        <v>1472</v>
      </c>
      <c r="J3" t="s">
        <v>1672</v>
      </c>
      <c r="K3" t="s">
        <v>1673</v>
      </c>
      <c r="L3" t="s">
        <v>25</v>
      </c>
      <c r="M3" t="s">
        <v>1884</v>
      </c>
      <c r="N3" t="s">
        <v>835</v>
      </c>
    </row>
    <row r="4" spans="1:14" x14ac:dyDescent="0.3">
      <c r="A4" t="s">
        <v>1674</v>
      </c>
      <c r="B4" t="s">
        <v>1675</v>
      </c>
      <c r="C4" t="s">
        <v>733</v>
      </c>
      <c r="D4" t="s">
        <v>1676</v>
      </c>
      <c r="E4" t="s">
        <v>1677</v>
      </c>
      <c r="F4" t="s">
        <v>1678</v>
      </c>
      <c r="G4" t="s">
        <v>1679</v>
      </c>
      <c r="H4" t="s">
        <v>32</v>
      </c>
      <c r="I4" t="s">
        <v>1472</v>
      </c>
      <c r="J4" t="s">
        <v>1680</v>
      </c>
      <c r="K4" t="s">
        <v>1681</v>
      </c>
      <c r="L4" t="s">
        <v>25</v>
      </c>
      <c r="M4" t="s">
        <v>1885</v>
      </c>
      <c r="N4" t="s">
        <v>832</v>
      </c>
    </row>
    <row r="5" spans="1:14" x14ac:dyDescent="0.3">
      <c r="A5" t="s">
        <v>1742</v>
      </c>
      <c r="B5" t="s">
        <v>1743</v>
      </c>
      <c r="C5" t="s">
        <v>733</v>
      </c>
      <c r="D5" t="s">
        <v>1744</v>
      </c>
      <c r="E5" t="s">
        <v>1745</v>
      </c>
      <c r="F5" t="s">
        <v>334</v>
      </c>
      <c r="G5" t="s">
        <v>335</v>
      </c>
      <c r="H5" t="s">
        <v>32</v>
      </c>
      <c r="I5" t="s">
        <v>1472</v>
      </c>
      <c r="J5" t="s">
        <v>1746</v>
      </c>
      <c r="K5" t="s">
        <v>1747</v>
      </c>
      <c r="L5" t="s">
        <v>25</v>
      </c>
      <c r="M5" t="s">
        <v>1898</v>
      </c>
      <c r="N5" t="s">
        <v>835</v>
      </c>
    </row>
    <row r="6" spans="1:14" x14ac:dyDescent="0.3">
      <c r="A6" t="s">
        <v>1594</v>
      </c>
      <c r="B6" t="s">
        <v>1595</v>
      </c>
      <c r="C6">
        <v>203</v>
      </c>
      <c r="D6" t="s">
        <v>1596</v>
      </c>
      <c r="E6" t="s">
        <v>1597</v>
      </c>
      <c r="F6" t="s">
        <v>1598</v>
      </c>
      <c r="G6" t="s">
        <v>1599</v>
      </c>
      <c r="H6" t="s">
        <v>32</v>
      </c>
      <c r="I6" t="s">
        <v>1472</v>
      </c>
      <c r="J6" t="s">
        <v>1600</v>
      </c>
      <c r="L6" t="s">
        <v>25</v>
      </c>
      <c r="M6" t="s">
        <v>1867</v>
      </c>
      <c r="N6" t="s">
        <v>835</v>
      </c>
    </row>
    <row r="7" spans="1:14" x14ac:dyDescent="0.3">
      <c r="A7" t="s">
        <v>1617</v>
      </c>
      <c r="B7" t="s">
        <v>1618</v>
      </c>
      <c r="C7">
        <v>188</v>
      </c>
      <c r="D7" t="s">
        <v>1619</v>
      </c>
      <c r="E7" t="s">
        <v>1620</v>
      </c>
      <c r="F7" t="s">
        <v>55</v>
      </c>
      <c r="G7" t="s">
        <v>56</v>
      </c>
      <c r="H7" t="s">
        <v>32</v>
      </c>
      <c r="I7" t="s">
        <v>1472</v>
      </c>
      <c r="J7" t="s">
        <v>1621</v>
      </c>
      <c r="L7" t="s">
        <v>25</v>
      </c>
      <c r="M7" t="s">
        <v>1875</v>
      </c>
      <c r="N7" t="s">
        <v>835</v>
      </c>
    </row>
    <row r="8" spans="1:14" x14ac:dyDescent="0.3">
      <c r="A8" t="s">
        <v>1496</v>
      </c>
      <c r="B8" t="s">
        <v>1497</v>
      </c>
      <c r="C8">
        <v>178</v>
      </c>
      <c r="D8" t="s">
        <v>1498</v>
      </c>
      <c r="E8" t="s">
        <v>1499</v>
      </c>
      <c r="F8" t="s">
        <v>1500</v>
      </c>
      <c r="G8" t="s">
        <v>1501</v>
      </c>
      <c r="H8" t="s">
        <v>32</v>
      </c>
      <c r="I8" t="s">
        <v>1472</v>
      </c>
      <c r="L8" t="s">
        <v>25</v>
      </c>
      <c r="M8" t="s">
        <v>1856</v>
      </c>
      <c r="N8" t="s">
        <v>835</v>
      </c>
    </row>
    <row r="9" spans="1:14" x14ac:dyDescent="0.3">
      <c r="A9" t="s">
        <v>1650</v>
      </c>
      <c r="B9" t="s">
        <v>1651</v>
      </c>
      <c r="C9">
        <v>124</v>
      </c>
      <c r="D9" t="s">
        <v>1652</v>
      </c>
      <c r="E9" t="s">
        <v>1653</v>
      </c>
      <c r="F9" t="s">
        <v>464</v>
      </c>
      <c r="G9" t="s">
        <v>465</v>
      </c>
      <c r="H9" t="s">
        <v>32</v>
      </c>
      <c r="I9" t="s">
        <v>1472</v>
      </c>
      <c r="J9" t="s">
        <v>1654</v>
      </c>
      <c r="K9" t="s">
        <v>1655</v>
      </c>
      <c r="L9" t="s">
        <v>25</v>
      </c>
      <c r="M9" t="s">
        <v>1881</v>
      </c>
      <c r="N9" t="s">
        <v>832</v>
      </c>
    </row>
    <row r="10" spans="1:14" x14ac:dyDescent="0.3">
      <c r="A10" t="s">
        <v>1635</v>
      </c>
      <c r="B10" t="s">
        <v>1636</v>
      </c>
      <c r="C10">
        <v>85</v>
      </c>
      <c r="D10" t="s">
        <v>1637</v>
      </c>
      <c r="E10" t="s">
        <v>1638</v>
      </c>
      <c r="F10" t="s">
        <v>445</v>
      </c>
      <c r="G10" t="s">
        <v>446</v>
      </c>
      <c r="H10" t="s">
        <v>32</v>
      </c>
      <c r="I10" t="s">
        <v>1472</v>
      </c>
      <c r="J10" t="s">
        <v>1639</v>
      </c>
      <c r="L10" t="s">
        <v>25</v>
      </c>
      <c r="M10" t="s">
        <v>1878</v>
      </c>
      <c r="N10" t="s">
        <v>832</v>
      </c>
    </row>
    <row r="11" spans="1:14" x14ac:dyDescent="0.3">
      <c r="A11" t="s">
        <v>1771</v>
      </c>
      <c r="B11" t="s">
        <v>1772</v>
      </c>
      <c r="C11">
        <v>67</v>
      </c>
      <c r="D11" t="s">
        <v>1773</v>
      </c>
      <c r="E11" t="s">
        <v>1769</v>
      </c>
      <c r="F11" t="s">
        <v>264</v>
      </c>
      <c r="G11" t="s">
        <v>265</v>
      </c>
      <c r="H11" t="s">
        <v>32</v>
      </c>
      <c r="I11" t="s">
        <v>1472</v>
      </c>
      <c r="J11" t="s">
        <v>1770</v>
      </c>
      <c r="L11" t="s">
        <v>25</v>
      </c>
      <c r="M11" t="s">
        <v>1903</v>
      </c>
      <c r="N11" t="s">
        <v>829</v>
      </c>
    </row>
    <row r="12" spans="1:14" x14ac:dyDescent="0.3">
      <c r="A12" t="s">
        <v>1725</v>
      </c>
      <c r="B12" t="s">
        <v>1726</v>
      </c>
      <c r="C12">
        <v>62</v>
      </c>
      <c r="D12" t="s">
        <v>1727</v>
      </c>
      <c r="E12" t="s">
        <v>1728</v>
      </c>
      <c r="F12" t="s">
        <v>99</v>
      </c>
      <c r="G12" t="s">
        <v>100</v>
      </c>
      <c r="H12" t="s">
        <v>32</v>
      </c>
      <c r="I12" t="s">
        <v>1472</v>
      </c>
      <c r="J12" t="s">
        <v>1729</v>
      </c>
      <c r="L12" t="s">
        <v>25</v>
      </c>
      <c r="M12" t="s">
        <v>1894</v>
      </c>
      <c r="N12" t="s">
        <v>835</v>
      </c>
    </row>
    <row r="13" spans="1:14" x14ac:dyDescent="0.3">
      <c r="A13" t="s">
        <v>1515</v>
      </c>
      <c r="B13" t="s">
        <v>1516</v>
      </c>
      <c r="C13">
        <v>61</v>
      </c>
      <c r="D13" t="s">
        <v>1517</v>
      </c>
      <c r="E13" t="s">
        <v>1518</v>
      </c>
      <c r="F13" t="s">
        <v>1519</v>
      </c>
      <c r="G13" t="s">
        <v>1520</v>
      </c>
      <c r="H13" t="s">
        <v>32</v>
      </c>
      <c r="I13" t="s">
        <v>1472</v>
      </c>
      <c r="J13" t="s">
        <v>1521</v>
      </c>
      <c r="K13" t="s">
        <v>1522</v>
      </c>
      <c r="L13" t="s">
        <v>25</v>
      </c>
      <c r="M13" t="s">
        <v>1859</v>
      </c>
      <c r="N13" t="s">
        <v>835</v>
      </c>
    </row>
    <row r="14" spans="1:14" x14ac:dyDescent="0.3">
      <c r="A14" t="s">
        <v>1786</v>
      </c>
      <c r="B14" t="s">
        <v>1787</v>
      </c>
      <c r="C14">
        <v>61</v>
      </c>
      <c r="D14" t="s">
        <v>1788</v>
      </c>
      <c r="E14" t="s">
        <v>1789</v>
      </c>
      <c r="F14" t="s">
        <v>1506</v>
      </c>
      <c r="G14" t="s">
        <v>1507</v>
      </c>
      <c r="H14" t="s">
        <v>32</v>
      </c>
      <c r="I14" t="s">
        <v>1472</v>
      </c>
      <c r="J14" t="s">
        <v>1790</v>
      </c>
      <c r="K14" t="s">
        <v>1791</v>
      </c>
      <c r="L14" t="s">
        <v>25</v>
      </c>
      <c r="M14" t="s">
        <v>1906</v>
      </c>
      <c r="N14" t="s">
        <v>835</v>
      </c>
    </row>
    <row r="15" spans="1:14" x14ac:dyDescent="0.3">
      <c r="A15" t="s">
        <v>1798</v>
      </c>
      <c r="B15" t="s">
        <v>1799</v>
      </c>
      <c r="C15">
        <v>59</v>
      </c>
      <c r="D15" t="s">
        <v>1800</v>
      </c>
      <c r="E15" t="s">
        <v>1801</v>
      </c>
      <c r="F15" t="s">
        <v>1802</v>
      </c>
      <c r="G15" t="s">
        <v>1803</v>
      </c>
      <c r="H15" t="s">
        <v>32</v>
      </c>
      <c r="I15" t="s">
        <v>1472</v>
      </c>
      <c r="L15" t="s">
        <v>25</v>
      </c>
      <c r="M15" t="s">
        <v>1908</v>
      </c>
      <c r="N15" t="s">
        <v>835</v>
      </c>
    </row>
    <row r="16" spans="1:14" x14ac:dyDescent="0.3">
      <c r="A16" t="s">
        <v>1709</v>
      </c>
      <c r="B16" t="s">
        <v>1710</v>
      </c>
      <c r="C16">
        <v>57</v>
      </c>
      <c r="D16" t="s">
        <v>1711</v>
      </c>
      <c r="E16" t="s">
        <v>1712</v>
      </c>
      <c r="F16" t="s">
        <v>114</v>
      </c>
      <c r="G16" t="s">
        <v>115</v>
      </c>
      <c r="H16" t="s">
        <v>32</v>
      </c>
      <c r="I16" t="s">
        <v>1472</v>
      </c>
      <c r="J16" t="s">
        <v>1713</v>
      </c>
      <c r="L16" t="s">
        <v>25</v>
      </c>
      <c r="M16" t="s">
        <v>1891</v>
      </c>
      <c r="N16" t="s">
        <v>832</v>
      </c>
    </row>
    <row r="17" spans="1:14" x14ac:dyDescent="0.3">
      <c r="A17" t="s">
        <v>1502</v>
      </c>
      <c r="B17" t="s">
        <v>1503</v>
      </c>
      <c r="C17">
        <v>52</v>
      </c>
      <c r="D17" t="s">
        <v>1504</v>
      </c>
      <c r="E17" t="s">
        <v>1505</v>
      </c>
      <c r="F17" t="s">
        <v>1506</v>
      </c>
      <c r="G17" t="s">
        <v>1507</v>
      </c>
      <c r="H17" t="s">
        <v>32</v>
      </c>
      <c r="I17" t="s">
        <v>1472</v>
      </c>
      <c r="J17" t="s">
        <v>1508</v>
      </c>
      <c r="K17" t="s">
        <v>1509</v>
      </c>
      <c r="L17" t="s">
        <v>25</v>
      </c>
      <c r="M17" t="s">
        <v>1857</v>
      </c>
      <c r="N17" t="s">
        <v>832</v>
      </c>
    </row>
    <row r="18" spans="1:14" x14ac:dyDescent="0.3">
      <c r="A18" t="s">
        <v>1730</v>
      </c>
      <c r="B18" t="s">
        <v>475</v>
      </c>
      <c r="C18">
        <v>52</v>
      </c>
      <c r="D18" t="s">
        <v>1731</v>
      </c>
      <c r="E18" t="s">
        <v>1732</v>
      </c>
      <c r="F18" t="s">
        <v>968</v>
      </c>
      <c r="G18" t="s">
        <v>969</v>
      </c>
      <c r="H18" t="s">
        <v>32</v>
      </c>
      <c r="I18" t="s">
        <v>1472</v>
      </c>
      <c r="L18" t="s">
        <v>25</v>
      </c>
      <c r="M18" t="s">
        <v>1895</v>
      </c>
      <c r="N18" t="s">
        <v>832</v>
      </c>
    </row>
    <row r="19" spans="1:14" x14ac:dyDescent="0.3">
      <c r="A19" t="s">
        <v>1583</v>
      </c>
      <c r="B19" t="s">
        <v>1584</v>
      </c>
      <c r="C19">
        <v>45</v>
      </c>
      <c r="D19" t="s">
        <v>1585</v>
      </c>
      <c r="E19" t="s">
        <v>1586</v>
      </c>
      <c r="F19" t="s">
        <v>1243</v>
      </c>
      <c r="G19" t="s">
        <v>1244</v>
      </c>
      <c r="H19" t="s">
        <v>32</v>
      </c>
      <c r="I19" t="s">
        <v>1472</v>
      </c>
      <c r="J19" t="s">
        <v>1587</v>
      </c>
      <c r="L19" t="s">
        <v>25</v>
      </c>
      <c r="M19" t="s">
        <v>1870</v>
      </c>
      <c r="N19" t="s">
        <v>835</v>
      </c>
    </row>
    <row r="20" spans="1:14" x14ac:dyDescent="0.3">
      <c r="A20" t="s">
        <v>1704</v>
      </c>
      <c r="B20" t="s">
        <v>1705</v>
      </c>
      <c r="C20">
        <v>43</v>
      </c>
      <c r="D20" t="s">
        <v>1706</v>
      </c>
      <c r="E20" t="s">
        <v>1707</v>
      </c>
      <c r="F20" t="s">
        <v>1605</v>
      </c>
      <c r="G20" t="s">
        <v>1606</v>
      </c>
      <c r="H20" t="s">
        <v>23</v>
      </c>
      <c r="I20" t="s">
        <v>1472</v>
      </c>
      <c r="J20" t="s">
        <v>1708</v>
      </c>
      <c r="L20" t="s">
        <v>25</v>
      </c>
      <c r="M20" t="s">
        <v>1890</v>
      </c>
      <c r="N20" t="s">
        <v>835</v>
      </c>
    </row>
    <row r="21" spans="1:14" x14ac:dyDescent="0.3">
      <c r="A21" t="s">
        <v>1714</v>
      </c>
      <c r="B21" t="s">
        <v>1715</v>
      </c>
      <c r="C21">
        <v>43</v>
      </c>
      <c r="D21" t="s">
        <v>1716</v>
      </c>
      <c r="E21" t="s">
        <v>1717</v>
      </c>
      <c r="F21" t="s">
        <v>1718</v>
      </c>
      <c r="G21" t="s">
        <v>1719</v>
      </c>
      <c r="H21" t="s">
        <v>32</v>
      </c>
      <c r="I21" t="s">
        <v>1472</v>
      </c>
      <c r="J21" t="s">
        <v>1720</v>
      </c>
      <c r="L21" t="s">
        <v>25</v>
      </c>
      <c r="M21" t="s">
        <v>1892</v>
      </c>
      <c r="N21" t="s">
        <v>835</v>
      </c>
    </row>
    <row r="22" spans="1:14" x14ac:dyDescent="0.3">
      <c r="A22" t="s">
        <v>1833</v>
      </c>
      <c r="B22" t="s">
        <v>1834</v>
      </c>
      <c r="C22">
        <v>42</v>
      </c>
      <c r="D22" t="s">
        <v>1835</v>
      </c>
      <c r="E22" t="s">
        <v>1836</v>
      </c>
      <c r="F22" t="s">
        <v>1550</v>
      </c>
      <c r="G22" t="s">
        <v>1551</v>
      </c>
      <c r="H22" t="s">
        <v>32</v>
      </c>
      <c r="I22" t="s">
        <v>1472</v>
      </c>
      <c r="J22" t="s">
        <v>1837</v>
      </c>
      <c r="L22" t="s">
        <v>25</v>
      </c>
      <c r="M22" t="s">
        <v>1914</v>
      </c>
      <c r="N22" t="s">
        <v>1851</v>
      </c>
    </row>
    <row r="23" spans="1:14" x14ac:dyDescent="0.3">
      <c r="A23" t="s">
        <v>1608</v>
      </c>
      <c r="B23" t="s">
        <v>1609</v>
      </c>
      <c r="C23">
        <v>39</v>
      </c>
      <c r="D23" t="s">
        <v>1610</v>
      </c>
      <c r="E23" t="s">
        <v>1611</v>
      </c>
      <c r="F23" t="s">
        <v>393</v>
      </c>
      <c r="G23" t="s">
        <v>394</v>
      </c>
      <c r="H23" t="s">
        <v>23</v>
      </c>
      <c r="I23" t="s">
        <v>1472</v>
      </c>
      <c r="L23" t="s">
        <v>25</v>
      </c>
      <c r="M23" t="s">
        <v>1873</v>
      </c>
      <c r="N23" t="s">
        <v>832</v>
      </c>
    </row>
    <row r="24" spans="1:14" x14ac:dyDescent="0.3">
      <c r="A24" t="s">
        <v>1622</v>
      </c>
      <c r="B24" t="s">
        <v>1623</v>
      </c>
      <c r="C24">
        <v>39</v>
      </c>
      <c r="D24" t="s">
        <v>1624</v>
      </c>
      <c r="E24" t="s">
        <v>1625</v>
      </c>
      <c r="F24" t="s">
        <v>21</v>
      </c>
      <c r="G24" t="s">
        <v>22</v>
      </c>
      <c r="H24" t="s">
        <v>32</v>
      </c>
      <c r="I24" t="s">
        <v>1472</v>
      </c>
      <c r="J24" t="s">
        <v>1626</v>
      </c>
      <c r="K24" t="s">
        <v>1627</v>
      </c>
      <c r="L24" t="s">
        <v>25</v>
      </c>
      <c r="M24" t="s">
        <v>1876</v>
      </c>
      <c r="N24" t="s">
        <v>832</v>
      </c>
    </row>
    <row r="25" spans="1:14" x14ac:dyDescent="0.3">
      <c r="A25" t="s">
        <v>1688</v>
      </c>
      <c r="B25" t="s">
        <v>1689</v>
      </c>
      <c r="C25">
        <v>39</v>
      </c>
      <c r="D25" t="s">
        <v>1690</v>
      </c>
      <c r="E25" t="s">
        <v>1691</v>
      </c>
      <c r="F25" t="s">
        <v>39</v>
      </c>
      <c r="G25" t="s">
        <v>40</v>
      </c>
      <c r="H25" t="s">
        <v>32</v>
      </c>
      <c r="I25" t="s">
        <v>1472</v>
      </c>
      <c r="J25" t="s">
        <v>1692</v>
      </c>
      <c r="K25" t="s">
        <v>1693</v>
      </c>
      <c r="L25" t="s">
        <v>25</v>
      </c>
      <c r="M25" t="s">
        <v>1887</v>
      </c>
      <c r="N25" t="s">
        <v>835</v>
      </c>
    </row>
    <row r="26" spans="1:14" x14ac:dyDescent="0.3">
      <c r="A26" t="s">
        <v>1694</v>
      </c>
      <c r="B26" t="s">
        <v>1276</v>
      </c>
      <c r="C26">
        <v>39</v>
      </c>
      <c r="D26" t="s">
        <v>1695</v>
      </c>
      <c r="E26" t="s">
        <v>1696</v>
      </c>
      <c r="F26" t="s">
        <v>305</v>
      </c>
      <c r="G26" t="s">
        <v>306</v>
      </c>
      <c r="H26" t="s">
        <v>32</v>
      </c>
      <c r="I26" t="s">
        <v>1472</v>
      </c>
      <c r="L26" t="s">
        <v>25</v>
      </c>
      <c r="M26" t="s">
        <v>1888</v>
      </c>
      <c r="N26" t="s">
        <v>835</v>
      </c>
    </row>
    <row r="27" spans="1:14" x14ac:dyDescent="0.3">
      <c r="A27" t="s">
        <v>1816</v>
      </c>
      <c r="B27" t="s">
        <v>1817</v>
      </c>
      <c r="C27">
        <v>39</v>
      </c>
      <c r="D27" t="s">
        <v>1818</v>
      </c>
      <c r="E27" t="s">
        <v>1819</v>
      </c>
      <c r="F27" t="s">
        <v>1820</v>
      </c>
      <c r="G27" t="s">
        <v>1821</v>
      </c>
      <c r="H27" t="s">
        <v>32</v>
      </c>
      <c r="I27" t="s">
        <v>1472</v>
      </c>
      <c r="J27" t="s">
        <v>1822</v>
      </c>
      <c r="L27" t="s">
        <v>25</v>
      </c>
      <c r="M27" t="s">
        <v>1911</v>
      </c>
      <c r="N27" t="s">
        <v>835</v>
      </c>
    </row>
    <row r="28" spans="1:14" x14ac:dyDescent="0.3">
      <c r="A28" t="s">
        <v>1560</v>
      </c>
      <c r="B28" t="s">
        <v>1561</v>
      </c>
      <c r="C28">
        <v>38</v>
      </c>
      <c r="D28" t="s">
        <v>1562</v>
      </c>
      <c r="E28" t="s">
        <v>1563</v>
      </c>
      <c r="F28" t="s">
        <v>662</v>
      </c>
      <c r="G28" t="s">
        <v>663</v>
      </c>
      <c r="H28" t="s">
        <v>32</v>
      </c>
      <c r="I28" t="s">
        <v>1472</v>
      </c>
      <c r="J28" t="s">
        <v>1564</v>
      </c>
      <c r="L28" t="s">
        <v>25</v>
      </c>
      <c r="M28" t="s">
        <v>1866</v>
      </c>
      <c r="N28" t="s">
        <v>835</v>
      </c>
    </row>
    <row r="29" spans="1:14" x14ac:dyDescent="0.3">
      <c r="A29" t="s">
        <v>1721</v>
      </c>
      <c r="B29" t="s">
        <v>1183</v>
      </c>
      <c r="C29">
        <v>38</v>
      </c>
      <c r="D29" t="s">
        <v>1722</v>
      </c>
      <c r="E29" t="s">
        <v>1723</v>
      </c>
      <c r="F29" t="s">
        <v>492</v>
      </c>
      <c r="G29" t="s">
        <v>493</v>
      </c>
      <c r="H29" t="s">
        <v>32</v>
      </c>
      <c r="I29" t="s">
        <v>1472</v>
      </c>
      <c r="J29" t="s">
        <v>1724</v>
      </c>
      <c r="L29" t="s">
        <v>25</v>
      </c>
      <c r="M29" t="s">
        <v>1893</v>
      </c>
      <c r="N29" t="s">
        <v>832</v>
      </c>
    </row>
    <row r="30" spans="1:14" x14ac:dyDescent="0.3">
      <c r="A30" t="s">
        <v>1546</v>
      </c>
      <c r="B30" t="s">
        <v>1547</v>
      </c>
      <c r="C30">
        <v>34</v>
      </c>
      <c r="D30" t="s">
        <v>1548</v>
      </c>
      <c r="E30" t="s">
        <v>1549</v>
      </c>
      <c r="F30" t="s">
        <v>1550</v>
      </c>
      <c r="G30" t="s">
        <v>1551</v>
      </c>
      <c r="H30" t="s">
        <v>23</v>
      </c>
      <c r="I30" t="s">
        <v>1472</v>
      </c>
      <c r="J30" t="s">
        <v>1552</v>
      </c>
      <c r="K30" t="s">
        <v>1553</v>
      </c>
      <c r="L30" t="s">
        <v>25</v>
      </c>
      <c r="M30" t="s">
        <v>1864</v>
      </c>
      <c r="N30" t="s">
        <v>832</v>
      </c>
    </row>
    <row r="31" spans="1:14" x14ac:dyDescent="0.3">
      <c r="A31" t="s">
        <v>1569</v>
      </c>
      <c r="B31" t="s">
        <v>1570</v>
      </c>
      <c r="C31">
        <v>34</v>
      </c>
      <c r="D31" t="s">
        <v>1571</v>
      </c>
      <c r="E31" t="s">
        <v>1572</v>
      </c>
      <c r="F31" t="s">
        <v>1573</v>
      </c>
      <c r="G31" t="s">
        <v>1574</v>
      </c>
      <c r="H31" t="s">
        <v>32</v>
      </c>
      <c r="I31" t="s">
        <v>1472</v>
      </c>
      <c r="J31" t="s">
        <v>1575</v>
      </c>
      <c r="K31" t="s">
        <v>1576</v>
      </c>
      <c r="L31" t="s">
        <v>25</v>
      </c>
      <c r="M31" t="s">
        <v>1868</v>
      </c>
      <c r="N31" t="s">
        <v>832</v>
      </c>
    </row>
    <row r="32" spans="1:14" x14ac:dyDescent="0.3">
      <c r="A32" t="s">
        <v>1766</v>
      </c>
      <c r="B32" t="s">
        <v>1767</v>
      </c>
      <c r="C32">
        <v>34</v>
      </c>
      <c r="D32" t="s">
        <v>1768</v>
      </c>
      <c r="E32" t="s">
        <v>1769</v>
      </c>
      <c r="F32" t="s">
        <v>264</v>
      </c>
      <c r="G32" t="s">
        <v>265</v>
      </c>
      <c r="H32" t="s">
        <v>32</v>
      </c>
      <c r="I32" t="s">
        <v>1472</v>
      </c>
      <c r="J32" t="s">
        <v>1770</v>
      </c>
      <c r="L32" t="s">
        <v>25</v>
      </c>
      <c r="M32" t="s">
        <v>1902</v>
      </c>
      <c r="N32" t="s">
        <v>835</v>
      </c>
    </row>
    <row r="33" spans="1:14" x14ac:dyDescent="0.3">
      <c r="A33" t="s">
        <v>1528</v>
      </c>
      <c r="B33" t="s">
        <v>1529</v>
      </c>
      <c r="C33">
        <v>32</v>
      </c>
      <c r="D33" t="s">
        <v>1530</v>
      </c>
      <c r="E33" t="s">
        <v>1531</v>
      </c>
      <c r="F33" t="s">
        <v>1500</v>
      </c>
      <c r="G33" t="s">
        <v>1501</v>
      </c>
      <c r="H33" t="s">
        <v>23</v>
      </c>
      <c r="I33" t="s">
        <v>1472</v>
      </c>
      <c r="J33" t="s">
        <v>1532</v>
      </c>
      <c r="L33" t="s">
        <v>25</v>
      </c>
      <c r="M33" t="s">
        <v>1861</v>
      </c>
      <c r="N33" t="s">
        <v>832</v>
      </c>
    </row>
    <row r="34" spans="1:14" x14ac:dyDescent="0.3">
      <c r="A34" t="s">
        <v>1656</v>
      </c>
      <c r="B34" t="s">
        <v>1657</v>
      </c>
      <c r="C34">
        <v>32</v>
      </c>
      <c r="D34" t="s">
        <v>1658</v>
      </c>
      <c r="E34" t="s">
        <v>1659</v>
      </c>
      <c r="F34" t="s">
        <v>1660</v>
      </c>
      <c r="G34" t="s">
        <v>1661</v>
      </c>
      <c r="H34" t="s">
        <v>32</v>
      </c>
      <c r="I34" t="s">
        <v>1472</v>
      </c>
      <c r="L34" t="s">
        <v>25</v>
      </c>
      <c r="M34" t="s">
        <v>1882</v>
      </c>
      <c r="N34" t="s">
        <v>832</v>
      </c>
    </row>
    <row r="35" spans="1:14" x14ac:dyDescent="0.3">
      <c r="A35" t="s">
        <v>1778</v>
      </c>
      <c r="B35" t="s">
        <v>1779</v>
      </c>
      <c r="C35">
        <v>32</v>
      </c>
      <c r="D35" t="s">
        <v>1780</v>
      </c>
      <c r="E35" t="s">
        <v>1781</v>
      </c>
      <c r="F35" t="s">
        <v>1782</v>
      </c>
      <c r="G35" t="s">
        <v>1783</v>
      </c>
      <c r="H35" t="s">
        <v>32</v>
      </c>
      <c r="I35" t="s">
        <v>1472</v>
      </c>
      <c r="J35" t="s">
        <v>1784</v>
      </c>
      <c r="K35" t="s">
        <v>1785</v>
      </c>
      <c r="L35" t="s">
        <v>25</v>
      </c>
      <c r="M35" t="s">
        <v>1905</v>
      </c>
      <c r="N35" t="s">
        <v>832</v>
      </c>
    </row>
    <row r="36" spans="1:14" x14ac:dyDescent="0.3">
      <c r="A36" t="s">
        <v>1662</v>
      </c>
      <c r="B36" t="s">
        <v>1663</v>
      </c>
      <c r="C36">
        <v>31</v>
      </c>
      <c r="D36" t="s">
        <v>1664</v>
      </c>
      <c r="E36" t="s">
        <v>1665</v>
      </c>
      <c r="F36" t="s">
        <v>63</v>
      </c>
      <c r="G36" t="s">
        <v>64</v>
      </c>
      <c r="H36" t="s">
        <v>32</v>
      </c>
      <c r="I36" t="s">
        <v>1472</v>
      </c>
      <c r="J36" t="s">
        <v>1666</v>
      </c>
      <c r="K36" t="s">
        <v>1667</v>
      </c>
      <c r="L36" t="s">
        <v>25</v>
      </c>
      <c r="M36" t="s">
        <v>1883</v>
      </c>
      <c r="N36" t="s">
        <v>832</v>
      </c>
    </row>
    <row r="37" spans="1:14" x14ac:dyDescent="0.3">
      <c r="A37" t="s">
        <v>1554</v>
      </c>
      <c r="B37" t="s">
        <v>1555</v>
      </c>
      <c r="C37">
        <v>30</v>
      </c>
      <c r="D37" t="s">
        <v>1556</v>
      </c>
      <c r="E37" t="s">
        <v>1557</v>
      </c>
      <c r="F37" t="s">
        <v>30</v>
      </c>
      <c r="G37" t="s">
        <v>31</v>
      </c>
      <c r="H37" t="s">
        <v>23</v>
      </c>
      <c r="I37" t="s">
        <v>1472</v>
      </c>
      <c r="J37" t="s">
        <v>1558</v>
      </c>
      <c r="K37" t="s">
        <v>1559</v>
      </c>
      <c r="L37" t="s">
        <v>25</v>
      </c>
      <c r="M37" t="s">
        <v>1865</v>
      </c>
      <c r="N37" t="s">
        <v>832</v>
      </c>
    </row>
    <row r="38" spans="1:14" x14ac:dyDescent="0.3">
      <c r="A38" t="s">
        <v>1823</v>
      </c>
      <c r="B38" t="s">
        <v>1824</v>
      </c>
      <c r="C38">
        <v>30</v>
      </c>
      <c r="D38" t="s">
        <v>1825</v>
      </c>
      <c r="E38" t="s">
        <v>1826</v>
      </c>
      <c r="F38" t="s">
        <v>544</v>
      </c>
      <c r="G38" t="s">
        <v>545</v>
      </c>
      <c r="H38" t="s">
        <v>32</v>
      </c>
      <c r="I38" t="s">
        <v>1472</v>
      </c>
      <c r="J38" t="s">
        <v>1827</v>
      </c>
      <c r="L38" t="s">
        <v>25</v>
      </c>
      <c r="M38" t="s">
        <v>1912</v>
      </c>
      <c r="N38" t="s">
        <v>832</v>
      </c>
    </row>
    <row r="39" spans="1:14" x14ac:dyDescent="0.3">
      <c r="A39" t="s">
        <v>1838</v>
      </c>
      <c r="B39" t="s">
        <v>1839</v>
      </c>
      <c r="C39">
        <v>29</v>
      </c>
      <c r="D39" t="s">
        <v>1840</v>
      </c>
      <c r="E39" t="s">
        <v>1841</v>
      </c>
      <c r="F39" t="s">
        <v>63</v>
      </c>
      <c r="G39" t="s">
        <v>64</v>
      </c>
      <c r="H39" t="s">
        <v>23</v>
      </c>
      <c r="I39" t="s">
        <v>1472</v>
      </c>
      <c r="J39" t="s">
        <v>1842</v>
      </c>
      <c r="K39" t="s">
        <v>1843</v>
      </c>
      <c r="L39" t="s">
        <v>25</v>
      </c>
      <c r="M39" t="s">
        <v>1915</v>
      </c>
      <c r="N39" t="s">
        <v>832</v>
      </c>
    </row>
    <row r="40" spans="1:14" x14ac:dyDescent="0.3">
      <c r="A40" t="s">
        <v>1538</v>
      </c>
      <c r="B40" t="s">
        <v>1539</v>
      </c>
      <c r="C40">
        <v>27</v>
      </c>
      <c r="D40" t="s">
        <v>1540</v>
      </c>
      <c r="E40" t="s">
        <v>1541</v>
      </c>
      <c r="F40" t="s">
        <v>1542</v>
      </c>
      <c r="G40" t="s">
        <v>1543</v>
      </c>
      <c r="H40" t="s">
        <v>23</v>
      </c>
      <c r="I40" t="s">
        <v>1472</v>
      </c>
      <c r="J40" t="s">
        <v>1544</v>
      </c>
      <c r="K40" t="s">
        <v>1545</v>
      </c>
      <c r="L40" t="s">
        <v>25</v>
      </c>
      <c r="M40" t="s">
        <v>1863</v>
      </c>
      <c r="N40" t="s">
        <v>832</v>
      </c>
    </row>
    <row r="41" spans="1:14" x14ac:dyDescent="0.3">
      <c r="A41" t="s">
        <v>1645</v>
      </c>
      <c r="B41" t="s">
        <v>1183</v>
      </c>
      <c r="C41">
        <v>27</v>
      </c>
      <c r="D41" t="s">
        <v>1646</v>
      </c>
      <c r="E41" t="s">
        <v>1647</v>
      </c>
      <c r="F41" t="s">
        <v>1261</v>
      </c>
      <c r="G41" t="s">
        <v>1262</v>
      </c>
      <c r="H41" t="s">
        <v>32</v>
      </c>
      <c r="I41" t="s">
        <v>1472</v>
      </c>
      <c r="J41" t="s">
        <v>1648</v>
      </c>
      <c r="K41" t="s">
        <v>1649</v>
      </c>
      <c r="L41" t="s">
        <v>25</v>
      </c>
      <c r="M41" t="s">
        <v>1880</v>
      </c>
      <c r="N41" t="s">
        <v>832</v>
      </c>
    </row>
    <row r="42" spans="1:14" x14ac:dyDescent="0.3">
      <c r="A42" t="s">
        <v>1682</v>
      </c>
      <c r="B42" t="s">
        <v>1683</v>
      </c>
      <c r="C42">
        <v>26</v>
      </c>
      <c r="D42" t="s">
        <v>1684</v>
      </c>
      <c r="E42" t="s">
        <v>1685</v>
      </c>
      <c r="F42" t="s">
        <v>464</v>
      </c>
      <c r="G42" t="s">
        <v>465</v>
      </c>
      <c r="H42" t="s">
        <v>32</v>
      </c>
      <c r="I42" t="s">
        <v>1472</v>
      </c>
      <c r="J42" t="s">
        <v>1686</v>
      </c>
      <c r="K42" t="s">
        <v>1687</v>
      </c>
      <c r="L42" t="s">
        <v>25</v>
      </c>
      <c r="M42" t="s">
        <v>1886</v>
      </c>
      <c r="N42" t="s">
        <v>835</v>
      </c>
    </row>
    <row r="43" spans="1:14" x14ac:dyDescent="0.3">
      <c r="A43" t="s">
        <v>1761</v>
      </c>
      <c r="B43" t="s">
        <v>1762</v>
      </c>
      <c r="C43">
        <v>25</v>
      </c>
      <c r="D43" t="s">
        <v>1763</v>
      </c>
      <c r="E43" t="s">
        <v>1764</v>
      </c>
      <c r="F43" t="s">
        <v>640</v>
      </c>
      <c r="G43" t="s">
        <v>641</v>
      </c>
      <c r="H43" t="s">
        <v>32</v>
      </c>
      <c r="I43" t="s">
        <v>1472</v>
      </c>
      <c r="J43" t="s">
        <v>1765</v>
      </c>
      <c r="L43" t="s">
        <v>25</v>
      </c>
      <c r="M43" t="s">
        <v>1901</v>
      </c>
      <c r="N43" t="s">
        <v>835</v>
      </c>
    </row>
    <row r="44" spans="1:14" x14ac:dyDescent="0.3">
      <c r="A44" t="s">
        <v>1510</v>
      </c>
      <c r="B44" t="s">
        <v>1511</v>
      </c>
      <c r="C44">
        <v>22</v>
      </c>
      <c r="D44" t="s">
        <v>1512</v>
      </c>
      <c r="E44" t="s">
        <v>1513</v>
      </c>
      <c r="F44" t="s">
        <v>721</v>
      </c>
      <c r="G44" t="s">
        <v>722</v>
      </c>
      <c r="H44" t="s">
        <v>32</v>
      </c>
      <c r="I44" t="s">
        <v>1472</v>
      </c>
      <c r="J44" t="s">
        <v>1514</v>
      </c>
      <c r="L44" t="s">
        <v>25</v>
      </c>
      <c r="M44" t="s">
        <v>1858</v>
      </c>
      <c r="N44" t="s">
        <v>832</v>
      </c>
    </row>
    <row r="45" spans="1:14" x14ac:dyDescent="0.3">
      <c r="A45" t="s">
        <v>1640</v>
      </c>
      <c r="B45" t="s">
        <v>1641</v>
      </c>
      <c r="C45">
        <v>22</v>
      </c>
      <c r="D45" t="s">
        <v>1642</v>
      </c>
      <c r="E45" t="s">
        <v>1643</v>
      </c>
      <c r="F45" t="s">
        <v>346</v>
      </c>
      <c r="G45" t="s">
        <v>347</v>
      </c>
      <c r="H45" t="s">
        <v>32</v>
      </c>
      <c r="I45" t="s">
        <v>1472</v>
      </c>
      <c r="J45" t="s">
        <v>1644</v>
      </c>
      <c r="L45" t="s">
        <v>25</v>
      </c>
      <c r="M45" t="s">
        <v>1879</v>
      </c>
      <c r="N45" t="s">
        <v>835</v>
      </c>
    </row>
    <row r="46" spans="1:14" x14ac:dyDescent="0.3">
      <c r="A46" t="s">
        <v>1844</v>
      </c>
      <c r="B46" t="s">
        <v>1845</v>
      </c>
      <c r="C46">
        <v>22</v>
      </c>
      <c r="D46" t="s">
        <v>1846</v>
      </c>
      <c r="E46" t="s">
        <v>1847</v>
      </c>
      <c r="F46" t="s">
        <v>1848</v>
      </c>
      <c r="G46" t="s">
        <v>1849</v>
      </c>
      <c r="H46" t="s">
        <v>32</v>
      </c>
      <c r="I46" t="s">
        <v>1472</v>
      </c>
      <c r="J46" t="s">
        <v>1850</v>
      </c>
      <c r="L46" t="s">
        <v>25</v>
      </c>
      <c r="M46" t="s">
        <v>1916</v>
      </c>
      <c r="N46" t="s">
        <v>832</v>
      </c>
    </row>
    <row r="47" spans="1:14" x14ac:dyDescent="0.3">
      <c r="A47" t="s">
        <v>1467</v>
      </c>
      <c r="B47" t="s">
        <v>1468</v>
      </c>
      <c r="C47">
        <v>21</v>
      </c>
      <c r="D47" t="s">
        <v>1469</v>
      </c>
      <c r="E47" t="s">
        <v>1470</v>
      </c>
      <c r="F47" t="s">
        <v>453</v>
      </c>
      <c r="G47" t="s">
        <v>1471</v>
      </c>
      <c r="H47" t="s">
        <v>32</v>
      </c>
      <c r="I47" t="s">
        <v>1472</v>
      </c>
      <c r="J47" t="s">
        <v>1473</v>
      </c>
      <c r="L47" t="s">
        <v>25</v>
      </c>
      <c r="M47" t="s">
        <v>1852</v>
      </c>
      <c r="N47" t="s">
        <v>832</v>
      </c>
    </row>
    <row r="48" spans="1:14" x14ac:dyDescent="0.3">
      <c r="A48" t="s">
        <v>1565</v>
      </c>
      <c r="B48" t="s">
        <v>1566</v>
      </c>
      <c r="C48">
        <v>21</v>
      </c>
      <c r="D48" t="s">
        <v>1567</v>
      </c>
      <c r="E48" t="s">
        <v>1568</v>
      </c>
      <c r="F48" t="s">
        <v>85</v>
      </c>
      <c r="G48" t="s">
        <v>86</v>
      </c>
      <c r="H48" t="s">
        <v>32</v>
      </c>
      <c r="I48" t="s">
        <v>1472</v>
      </c>
      <c r="L48" t="s">
        <v>25</v>
      </c>
      <c r="M48" t="s">
        <v>1867</v>
      </c>
      <c r="N48" t="s">
        <v>835</v>
      </c>
    </row>
    <row r="49" spans="1:14" x14ac:dyDescent="0.3">
      <c r="A49" t="s">
        <v>1754</v>
      </c>
      <c r="B49" t="s">
        <v>1755</v>
      </c>
      <c r="C49">
        <v>21</v>
      </c>
      <c r="D49" t="s">
        <v>1756</v>
      </c>
      <c r="E49" t="s">
        <v>1757</v>
      </c>
      <c r="F49" t="s">
        <v>1758</v>
      </c>
      <c r="G49" t="s">
        <v>1759</v>
      </c>
      <c r="H49" t="s">
        <v>23</v>
      </c>
      <c r="I49" t="s">
        <v>1472</v>
      </c>
      <c r="J49" t="s">
        <v>1760</v>
      </c>
      <c r="L49" t="s">
        <v>25</v>
      </c>
      <c r="M49" t="s">
        <v>1900</v>
      </c>
      <c r="N49" t="s">
        <v>832</v>
      </c>
    </row>
    <row r="50" spans="1:14" x14ac:dyDescent="0.3">
      <c r="A50" t="s">
        <v>1792</v>
      </c>
      <c r="B50" t="s">
        <v>1793</v>
      </c>
      <c r="C50">
        <v>20</v>
      </c>
      <c r="D50" t="s">
        <v>1794</v>
      </c>
      <c r="E50" t="s">
        <v>1795</v>
      </c>
      <c r="F50" t="s">
        <v>1186</v>
      </c>
      <c r="G50" t="s">
        <v>1187</v>
      </c>
      <c r="H50" t="s">
        <v>23</v>
      </c>
      <c r="I50" t="s">
        <v>1472</v>
      </c>
      <c r="J50" t="s">
        <v>1796</v>
      </c>
      <c r="K50" t="s">
        <v>1797</v>
      </c>
      <c r="L50" t="s">
        <v>25</v>
      </c>
      <c r="M50" t="s">
        <v>1907</v>
      </c>
      <c r="N50" t="s">
        <v>832</v>
      </c>
    </row>
    <row r="51" spans="1:14" x14ac:dyDescent="0.3">
      <c r="A51" t="s">
        <v>1828</v>
      </c>
      <c r="B51" t="s">
        <v>1829</v>
      </c>
      <c r="C51">
        <v>20</v>
      </c>
      <c r="D51" t="s">
        <v>1830</v>
      </c>
      <c r="E51" t="s">
        <v>1831</v>
      </c>
      <c r="F51" t="s">
        <v>346</v>
      </c>
      <c r="G51" t="s">
        <v>347</v>
      </c>
      <c r="H51" t="s">
        <v>23</v>
      </c>
      <c r="I51" t="s">
        <v>1472</v>
      </c>
      <c r="J51" t="s">
        <v>1832</v>
      </c>
      <c r="L51" t="s">
        <v>25</v>
      </c>
      <c r="M51" t="s">
        <v>1913</v>
      </c>
      <c r="N51" t="s">
        <v>835</v>
      </c>
    </row>
    <row r="52" spans="1:14" x14ac:dyDescent="0.3">
      <c r="A52" t="s">
        <v>1474</v>
      </c>
      <c r="B52" t="s">
        <v>1475</v>
      </c>
      <c r="C52">
        <v>19</v>
      </c>
      <c r="D52" t="s">
        <v>1476</v>
      </c>
      <c r="E52" t="s">
        <v>1477</v>
      </c>
      <c r="F52" t="s">
        <v>1478</v>
      </c>
      <c r="G52" t="s">
        <v>1479</v>
      </c>
      <c r="H52" t="s">
        <v>23</v>
      </c>
      <c r="I52" t="s">
        <v>1472</v>
      </c>
      <c r="K52" t="s">
        <v>1480</v>
      </c>
      <c r="L52" t="s">
        <v>25</v>
      </c>
      <c r="M52" t="s">
        <v>1853</v>
      </c>
      <c r="N52" t="s">
        <v>832</v>
      </c>
    </row>
    <row r="53" spans="1:14" x14ac:dyDescent="0.3">
      <c r="A53" t="s">
        <v>1533</v>
      </c>
      <c r="B53" t="s">
        <v>1534</v>
      </c>
      <c r="C53">
        <v>19</v>
      </c>
      <c r="D53" t="s">
        <v>1535</v>
      </c>
      <c r="E53" t="s">
        <v>1536</v>
      </c>
      <c r="F53" t="s">
        <v>387</v>
      </c>
      <c r="G53" t="s">
        <v>388</v>
      </c>
      <c r="H53" t="s">
        <v>23</v>
      </c>
      <c r="I53" t="s">
        <v>1472</v>
      </c>
      <c r="J53" t="s">
        <v>1537</v>
      </c>
      <c r="L53" t="s">
        <v>25</v>
      </c>
      <c r="M53" t="s">
        <v>1862</v>
      </c>
      <c r="N53" t="s">
        <v>832</v>
      </c>
    </row>
    <row r="54" spans="1:14" x14ac:dyDescent="0.3">
      <c r="A54" t="s">
        <v>1733</v>
      </c>
      <c r="B54" t="s">
        <v>1734</v>
      </c>
      <c r="C54">
        <v>18</v>
      </c>
      <c r="D54" t="s">
        <v>1735</v>
      </c>
      <c r="E54" t="s">
        <v>1736</v>
      </c>
      <c r="F54" t="s">
        <v>1737</v>
      </c>
      <c r="G54" t="s">
        <v>1738</v>
      </c>
      <c r="H54" t="s">
        <v>32</v>
      </c>
      <c r="I54" t="s">
        <v>1472</v>
      </c>
      <c r="L54" t="s">
        <v>25</v>
      </c>
      <c r="M54" t="s">
        <v>1896</v>
      </c>
      <c r="N54" t="s">
        <v>832</v>
      </c>
    </row>
    <row r="55" spans="1:14" x14ac:dyDescent="0.3">
      <c r="A55" t="s">
        <v>1748</v>
      </c>
      <c r="B55" t="s">
        <v>1749</v>
      </c>
      <c r="C55">
        <v>18</v>
      </c>
      <c r="D55" t="s">
        <v>1750</v>
      </c>
      <c r="E55" t="s">
        <v>1751</v>
      </c>
      <c r="F55" t="s">
        <v>1752</v>
      </c>
      <c r="G55" t="s">
        <v>1753</v>
      </c>
      <c r="H55" t="s">
        <v>32</v>
      </c>
      <c r="I55" t="s">
        <v>1472</v>
      </c>
      <c r="L55" t="s">
        <v>25</v>
      </c>
      <c r="M55" t="s">
        <v>1899</v>
      </c>
      <c r="N55" t="s">
        <v>832</v>
      </c>
    </row>
    <row r="56" spans="1:14" x14ac:dyDescent="0.3">
      <c r="A56" t="s">
        <v>1774</v>
      </c>
      <c r="B56" t="s">
        <v>1775</v>
      </c>
      <c r="C56">
        <v>18</v>
      </c>
      <c r="D56" t="s">
        <v>1776</v>
      </c>
      <c r="E56" t="s">
        <v>1777</v>
      </c>
      <c r="F56" t="s">
        <v>353</v>
      </c>
      <c r="G56" t="s">
        <v>354</v>
      </c>
      <c r="H56" t="s">
        <v>23</v>
      </c>
      <c r="I56" t="s">
        <v>1472</v>
      </c>
      <c r="L56" t="s">
        <v>25</v>
      </c>
      <c r="M56" t="s">
        <v>1904</v>
      </c>
      <c r="N56" t="s">
        <v>835</v>
      </c>
    </row>
    <row r="57" spans="1:14" x14ac:dyDescent="0.3">
      <c r="A57" t="s">
        <v>1697</v>
      </c>
      <c r="B57" t="s">
        <v>1698</v>
      </c>
      <c r="C57">
        <v>17</v>
      </c>
      <c r="D57" t="s">
        <v>1699</v>
      </c>
      <c r="E57" t="s">
        <v>1700</v>
      </c>
      <c r="F57" t="s">
        <v>1701</v>
      </c>
      <c r="G57" t="s">
        <v>1702</v>
      </c>
      <c r="H57" t="s">
        <v>23</v>
      </c>
      <c r="I57" t="s">
        <v>1472</v>
      </c>
      <c r="J57" t="s">
        <v>1703</v>
      </c>
      <c r="L57" t="s">
        <v>25</v>
      </c>
      <c r="M57" t="s">
        <v>1889</v>
      </c>
      <c r="N57" t="s">
        <v>832</v>
      </c>
    </row>
    <row r="58" spans="1:14" x14ac:dyDescent="0.3">
      <c r="A58" t="s">
        <v>1523</v>
      </c>
      <c r="B58" t="s">
        <v>1524</v>
      </c>
      <c r="C58">
        <v>16</v>
      </c>
      <c r="D58" t="s">
        <v>1525</v>
      </c>
      <c r="E58" t="s">
        <v>1526</v>
      </c>
      <c r="F58" t="s">
        <v>1167</v>
      </c>
      <c r="G58" t="s">
        <v>1168</v>
      </c>
      <c r="H58" t="s">
        <v>32</v>
      </c>
      <c r="I58" t="s">
        <v>1472</v>
      </c>
      <c r="J58" t="s">
        <v>1527</v>
      </c>
      <c r="L58" t="s">
        <v>25</v>
      </c>
      <c r="M58" t="s">
        <v>1860</v>
      </c>
      <c r="N58" t="s">
        <v>832</v>
      </c>
    </row>
    <row r="59" spans="1:14" x14ac:dyDescent="0.3">
      <c r="A59" t="s">
        <v>1804</v>
      </c>
      <c r="B59" t="s">
        <v>1805</v>
      </c>
      <c r="C59">
        <v>16</v>
      </c>
      <c r="D59" t="s">
        <v>1806</v>
      </c>
      <c r="E59" t="s">
        <v>1807</v>
      </c>
      <c r="F59" t="s">
        <v>1808</v>
      </c>
      <c r="G59" t="s">
        <v>1809</v>
      </c>
      <c r="H59" t="s">
        <v>32</v>
      </c>
      <c r="I59" t="s">
        <v>1472</v>
      </c>
      <c r="J59" t="s">
        <v>1810</v>
      </c>
      <c r="L59" t="s">
        <v>25</v>
      </c>
      <c r="M59" t="s">
        <v>1909</v>
      </c>
      <c r="N59" t="s">
        <v>832</v>
      </c>
    </row>
    <row r="60" spans="1:14" x14ac:dyDescent="0.3">
      <c r="A60" t="s">
        <v>1811</v>
      </c>
      <c r="B60" t="s">
        <v>1812</v>
      </c>
      <c r="C60">
        <v>16</v>
      </c>
      <c r="D60" t="s">
        <v>1813</v>
      </c>
      <c r="E60" t="s">
        <v>1814</v>
      </c>
      <c r="F60" t="s">
        <v>346</v>
      </c>
      <c r="G60" t="s">
        <v>347</v>
      </c>
      <c r="H60" t="s">
        <v>23</v>
      </c>
      <c r="I60" t="s">
        <v>1472</v>
      </c>
      <c r="J60" t="s">
        <v>1815</v>
      </c>
      <c r="L60" t="s">
        <v>25</v>
      </c>
      <c r="M60" t="s">
        <v>1910</v>
      </c>
      <c r="N60" t="s">
        <v>832</v>
      </c>
    </row>
    <row r="61" spans="1:14" x14ac:dyDescent="0.3">
      <c r="A61" t="s">
        <v>1628</v>
      </c>
      <c r="B61" t="s">
        <v>1629</v>
      </c>
      <c r="C61">
        <v>15</v>
      </c>
      <c r="D61" t="s">
        <v>1630</v>
      </c>
      <c r="E61" t="s">
        <v>1631</v>
      </c>
      <c r="F61" t="s">
        <v>1632</v>
      </c>
      <c r="G61" t="s">
        <v>1633</v>
      </c>
      <c r="H61" t="s">
        <v>32</v>
      </c>
      <c r="I61" t="s">
        <v>1472</v>
      </c>
      <c r="J61" t="s">
        <v>1634</v>
      </c>
      <c r="L61" t="s">
        <v>25</v>
      </c>
      <c r="M61" t="s">
        <v>1877</v>
      </c>
      <c r="N61" t="s">
        <v>835</v>
      </c>
    </row>
    <row r="62" spans="1:14" x14ac:dyDescent="0.3">
      <c r="A62" t="s">
        <v>1481</v>
      </c>
      <c r="B62" t="s">
        <v>1482</v>
      </c>
      <c r="C62">
        <v>14</v>
      </c>
      <c r="D62" t="s">
        <v>1483</v>
      </c>
      <c r="E62" t="s">
        <v>1484</v>
      </c>
      <c r="F62" t="s">
        <v>1485</v>
      </c>
      <c r="G62" t="s">
        <v>1486</v>
      </c>
      <c r="H62" t="s">
        <v>23</v>
      </c>
      <c r="I62" t="s">
        <v>1472</v>
      </c>
      <c r="J62" t="s">
        <v>1487</v>
      </c>
      <c r="K62" t="s">
        <v>1488</v>
      </c>
      <c r="L62" t="s">
        <v>25</v>
      </c>
      <c r="M62" t="s">
        <v>1854</v>
      </c>
      <c r="N62" t="s">
        <v>832</v>
      </c>
    </row>
    <row r="63" spans="1:14" x14ac:dyDescent="0.3">
      <c r="A63" t="s">
        <v>1577</v>
      </c>
      <c r="B63" t="s">
        <v>1578</v>
      </c>
      <c r="C63">
        <v>14</v>
      </c>
      <c r="D63" t="s">
        <v>1579</v>
      </c>
      <c r="E63" t="s">
        <v>1580</v>
      </c>
      <c r="F63" t="s">
        <v>1573</v>
      </c>
      <c r="G63" t="s">
        <v>1574</v>
      </c>
      <c r="H63" t="s">
        <v>32</v>
      </c>
      <c r="I63" t="s">
        <v>1472</v>
      </c>
      <c r="J63" t="s">
        <v>1581</v>
      </c>
      <c r="K63" t="s">
        <v>1582</v>
      </c>
      <c r="L63" t="s">
        <v>25</v>
      </c>
      <c r="M63" t="s">
        <v>1869</v>
      </c>
      <c r="N63" t="s">
        <v>1851</v>
      </c>
    </row>
    <row r="64" spans="1:14" x14ac:dyDescent="0.3">
      <c r="A64" t="s">
        <v>1588</v>
      </c>
      <c r="B64" t="s">
        <v>1589</v>
      </c>
      <c r="C64">
        <v>14</v>
      </c>
      <c r="D64" t="s">
        <v>1590</v>
      </c>
      <c r="E64" t="s">
        <v>1591</v>
      </c>
      <c r="F64" t="s">
        <v>1592</v>
      </c>
      <c r="G64" t="s">
        <v>1593</v>
      </c>
      <c r="H64" t="s">
        <v>32</v>
      </c>
      <c r="I64" t="s">
        <v>1472</v>
      </c>
      <c r="L64" t="s">
        <v>25</v>
      </c>
      <c r="M64" t="s">
        <v>1871</v>
      </c>
      <c r="N64" t="s">
        <v>832</v>
      </c>
    </row>
    <row r="65" spans="1:14" x14ac:dyDescent="0.3">
      <c r="A65" t="s">
        <v>1612</v>
      </c>
      <c r="B65" t="s">
        <v>1613</v>
      </c>
      <c r="C65">
        <v>14</v>
      </c>
      <c r="D65" t="s">
        <v>1614</v>
      </c>
      <c r="E65" t="s">
        <v>1615</v>
      </c>
      <c r="F65" t="s">
        <v>149</v>
      </c>
      <c r="G65" t="s">
        <v>150</v>
      </c>
      <c r="H65" t="s">
        <v>32</v>
      </c>
      <c r="I65" t="s">
        <v>1472</v>
      </c>
      <c r="J65" t="s">
        <v>1616</v>
      </c>
      <c r="L65" t="s">
        <v>25</v>
      </c>
      <c r="M65" t="s">
        <v>1874</v>
      </c>
      <c r="N65" t="s">
        <v>832</v>
      </c>
    </row>
    <row r="66" spans="1:14" x14ac:dyDescent="0.3">
      <c r="A66" t="s">
        <v>1739</v>
      </c>
      <c r="B66" t="s">
        <v>569</v>
      </c>
      <c r="C66">
        <v>13</v>
      </c>
      <c r="D66" t="s">
        <v>1740</v>
      </c>
      <c r="E66" t="s">
        <v>1741</v>
      </c>
      <c r="F66" t="s">
        <v>249</v>
      </c>
      <c r="G66" t="s">
        <v>250</v>
      </c>
      <c r="H66" t="s">
        <v>23</v>
      </c>
      <c r="I66" t="s">
        <v>1472</v>
      </c>
      <c r="L66" t="s">
        <v>25</v>
      </c>
      <c r="M66" t="s">
        <v>1897</v>
      </c>
      <c r="N66" t="s">
        <v>835</v>
      </c>
    </row>
    <row r="67" spans="1:14" x14ac:dyDescent="0.3">
      <c r="A67" t="s">
        <v>1601</v>
      </c>
      <c r="B67" t="s">
        <v>1602</v>
      </c>
      <c r="C67">
        <v>12</v>
      </c>
      <c r="D67" t="s">
        <v>1603</v>
      </c>
      <c r="E67" t="s">
        <v>1604</v>
      </c>
      <c r="F67" t="s">
        <v>1605</v>
      </c>
      <c r="G67" t="s">
        <v>1606</v>
      </c>
      <c r="H67" t="s">
        <v>32</v>
      </c>
      <c r="I67" t="s">
        <v>1472</v>
      </c>
      <c r="J67" t="s">
        <v>1607</v>
      </c>
      <c r="L67" t="s">
        <v>25</v>
      </c>
      <c r="M67" t="s">
        <v>1872</v>
      </c>
      <c r="N67" t="s">
        <v>832</v>
      </c>
    </row>
  </sheetData>
  <sortState xmlns:xlrd2="http://schemas.microsoft.com/office/spreadsheetml/2017/richdata2" ref="A2:N67">
    <sortCondition descending="1" ref="C1:C67"/>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64FAD-8CA7-4262-BDA4-3C94095A71FB}">
  <sheetPr codeName="Ark10"/>
  <dimension ref="A1:O108"/>
  <sheetViews>
    <sheetView workbookViewId="0">
      <selection activeCell="V20" sqref="V20"/>
    </sheetView>
  </sheetViews>
  <sheetFormatPr defaultRowHeight="14.4" x14ac:dyDescent="0.3"/>
  <cols>
    <col min="3" max="3" width="9.109375" style="3"/>
    <col min="4" max="4" width="17.6640625" customWidth="1"/>
  </cols>
  <sheetData>
    <row r="1" spans="1:14" x14ac:dyDescent="0.3">
      <c r="A1" s="10" t="s">
        <v>9</v>
      </c>
      <c r="B1" s="10" t="s">
        <v>0</v>
      </c>
      <c r="C1" s="11" t="s">
        <v>732</v>
      </c>
      <c r="D1" s="10" t="s">
        <v>1</v>
      </c>
      <c r="E1" s="10" t="s">
        <v>2</v>
      </c>
      <c r="F1" s="10" t="s">
        <v>3</v>
      </c>
      <c r="G1" s="10" t="s">
        <v>4</v>
      </c>
      <c r="H1" s="10" t="s">
        <v>10</v>
      </c>
      <c r="I1" s="10" t="s">
        <v>5</v>
      </c>
      <c r="J1" s="10" t="s">
        <v>6</v>
      </c>
      <c r="K1" s="10" t="s">
        <v>7</v>
      </c>
      <c r="L1" s="10" t="s">
        <v>8</v>
      </c>
      <c r="M1" s="1" t="s">
        <v>736</v>
      </c>
      <c r="N1" s="10" t="s">
        <v>917</v>
      </c>
    </row>
    <row r="2" spans="1:14" x14ac:dyDescent="0.3">
      <c r="A2" t="s">
        <v>2081</v>
      </c>
      <c r="B2" t="s">
        <v>2082</v>
      </c>
      <c r="C2" s="3" t="s">
        <v>733</v>
      </c>
      <c r="D2" t="s">
        <v>2083</v>
      </c>
      <c r="E2" t="s">
        <v>2084</v>
      </c>
      <c r="F2" t="s">
        <v>1082</v>
      </c>
      <c r="G2" t="s">
        <v>1083</v>
      </c>
      <c r="H2" t="s">
        <v>32</v>
      </c>
      <c r="I2" t="s">
        <v>1921</v>
      </c>
      <c r="J2" t="s">
        <v>2085</v>
      </c>
      <c r="L2" t="s">
        <v>25</v>
      </c>
      <c r="M2" t="s">
        <v>2526</v>
      </c>
      <c r="N2" t="s">
        <v>3675</v>
      </c>
    </row>
    <row r="3" spans="1:14" x14ac:dyDescent="0.3">
      <c r="A3" t="s">
        <v>2108</v>
      </c>
      <c r="B3" t="s">
        <v>2109</v>
      </c>
      <c r="C3" s="3" t="s">
        <v>733</v>
      </c>
      <c r="D3" t="s">
        <v>2110</v>
      </c>
      <c r="E3" t="s">
        <v>2111</v>
      </c>
      <c r="F3" t="s">
        <v>2112</v>
      </c>
      <c r="G3" t="s">
        <v>2113</v>
      </c>
      <c r="H3" t="s">
        <v>23</v>
      </c>
      <c r="I3" t="s">
        <v>1921</v>
      </c>
      <c r="L3" t="s">
        <v>25</v>
      </c>
      <c r="M3" t="s">
        <v>2543</v>
      </c>
      <c r="N3" t="s">
        <v>831</v>
      </c>
    </row>
    <row r="4" spans="1:14" x14ac:dyDescent="0.3">
      <c r="A4" t="s">
        <v>2367</v>
      </c>
      <c r="B4" t="s">
        <v>2368</v>
      </c>
      <c r="C4" s="3" t="s">
        <v>733</v>
      </c>
      <c r="D4" t="s">
        <v>2369</v>
      </c>
      <c r="E4" t="s">
        <v>2370</v>
      </c>
      <c r="F4" t="s">
        <v>1364</v>
      </c>
      <c r="G4" t="s">
        <v>1365</v>
      </c>
      <c r="H4" t="s">
        <v>32</v>
      </c>
      <c r="I4" t="s">
        <v>1921</v>
      </c>
      <c r="L4" t="s">
        <v>25</v>
      </c>
      <c r="M4" t="s">
        <v>2589</v>
      </c>
      <c r="N4" t="s">
        <v>3673</v>
      </c>
    </row>
    <row r="5" spans="1:14" x14ac:dyDescent="0.3">
      <c r="A5" t="s">
        <v>2158</v>
      </c>
      <c r="B5" t="s">
        <v>2159</v>
      </c>
      <c r="C5" s="3">
        <v>381</v>
      </c>
      <c r="D5" t="s">
        <v>2160</v>
      </c>
      <c r="E5" t="s">
        <v>2161</v>
      </c>
      <c r="F5" t="s">
        <v>1519</v>
      </c>
      <c r="G5" t="s">
        <v>1520</v>
      </c>
      <c r="H5" t="s">
        <v>32</v>
      </c>
      <c r="I5" t="s">
        <v>1921</v>
      </c>
      <c r="J5" t="s">
        <v>2162</v>
      </c>
      <c r="L5" t="s">
        <v>25</v>
      </c>
      <c r="M5" t="s">
        <v>2553</v>
      </c>
      <c r="N5" t="s">
        <v>3673</v>
      </c>
    </row>
    <row r="6" spans="1:14" x14ac:dyDescent="0.3">
      <c r="A6" t="s">
        <v>2029</v>
      </c>
      <c r="B6" t="s">
        <v>2030</v>
      </c>
      <c r="C6" s="3">
        <v>213</v>
      </c>
      <c r="D6" t="s">
        <v>2031</v>
      </c>
      <c r="E6" t="s">
        <v>2032</v>
      </c>
      <c r="F6" t="s">
        <v>334</v>
      </c>
      <c r="G6" t="s">
        <v>335</v>
      </c>
      <c r="H6" t="s">
        <v>2033</v>
      </c>
      <c r="I6" t="s">
        <v>1921</v>
      </c>
      <c r="J6" t="s">
        <v>2034</v>
      </c>
      <c r="K6" t="s">
        <v>2035</v>
      </c>
      <c r="L6" t="s">
        <v>25</v>
      </c>
      <c r="M6" t="s">
        <v>2531</v>
      </c>
      <c r="N6" t="s">
        <v>3674</v>
      </c>
    </row>
    <row r="7" spans="1:14" x14ac:dyDescent="0.3">
      <c r="A7" t="s">
        <v>1959</v>
      </c>
      <c r="B7" t="s">
        <v>1960</v>
      </c>
      <c r="C7" s="3">
        <v>188</v>
      </c>
      <c r="D7" t="s">
        <v>1961</v>
      </c>
      <c r="E7" t="s">
        <v>1962</v>
      </c>
      <c r="F7" t="s">
        <v>85</v>
      </c>
      <c r="G7" t="s">
        <v>86</v>
      </c>
      <c r="H7" t="s">
        <v>32</v>
      </c>
      <c r="I7" t="s">
        <v>1921</v>
      </c>
      <c r="L7" t="s">
        <v>25</v>
      </c>
      <c r="M7" t="s">
        <v>2514</v>
      </c>
      <c r="N7" t="s">
        <v>3675</v>
      </c>
    </row>
    <row r="8" spans="1:14" x14ac:dyDescent="0.3">
      <c r="A8" t="s">
        <v>1997</v>
      </c>
      <c r="B8" t="s">
        <v>1998</v>
      </c>
      <c r="C8" s="3">
        <v>168</v>
      </c>
      <c r="D8" t="s">
        <v>1999</v>
      </c>
      <c r="E8" t="s">
        <v>1994</v>
      </c>
      <c r="F8" t="s">
        <v>298</v>
      </c>
      <c r="G8" t="s">
        <v>299</v>
      </c>
      <c r="H8" t="s">
        <v>32</v>
      </c>
      <c r="I8" t="s">
        <v>1921</v>
      </c>
      <c r="K8" t="s">
        <v>1996</v>
      </c>
      <c r="L8" t="s">
        <v>25</v>
      </c>
      <c r="M8" t="s">
        <v>2520</v>
      </c>
      <c r="N8" t="s">
        <v>829</v>
      </c>
    </row>
    <row r="9" spans="1:14" x14ac:dyDescent="0.3">
      <c r="A9" t="s">
        <v>2339</v>
      </c>
      <c r="B9" t="s">
        <v>2340</v>
      </c>
      <c r="C9" s="3">
        <v>104</v>
      </c>
      <c r="D9" t="s">
        <v>2341</v>
      </c>
      <c r="E9" t="s">
        <v>2342</v>
      </c>
      <c r="F9" t="s">
        <v>2112</v>
      </c>
      <c r="G9" t="s">
        <v>2113</v>
      </c>
      <c r="H9" t="s">
        <v>32</v>
      </c>
      <c r="I9" t="s">
        <v>1921</v>
      </c>
      <c r="J9" t="s">
        <v>2343</v>
      </c>
      <c r="L9" t="s">
        <v>25</v>
      </c>
      <c r="M9" t="s">
        <v>2584</v>
      </c>
      <c r="N9" t="s">
        <v>3673</v>
      </c>
    </row>
    <row r="10" spans="1:14" x14ac:dyDescent="0.3">
      <c r="A10" t="s">
        <v>2422</v>
      </c>
      <c r="B10" t="s">
        <v>2423</v>
      </c>
      <c r="C10" s="3">
        <v>87</v>
      </c>
      <c r="D10" t="s">
        <v>2424</v>
      </c>
      <c r="E10" t="s">
        <v>2425</v>
      </c>
      <c r="F10" t="s">
        <v>367</v>
      </c>
      <c r="G10" t="s">
        <v>368</v>
      </c>
      <c r="H10" t="s">
        <v>32</v>
      </c>
      <c r="I10" t="s">
        <v>1921</v>
      </c>
      <c r="J10" t="s">
        <v>2426</v>
      </c>
      <c r="L10" t="s">
        <v>25</v>
      </c>
      <c r="M10" t="s">
        <v>2599</v>
      </c>
      <c r="N10" t="s">
        <v>3675</v>
      </c>
    </row>
    <row r="11" spans="1:14" x14ac:dyDescent="0.3">
      <c r="A11" t="s">
        <v>2218</v>
      </c>
      <c r="B11" t="s">
        <v>2219</v>
      </c>
      <c r="C11" s="3">
        <v>78</v>
      </c>
      <c r="D11" t="s">
        <v>2220</v>
      </c>
      <c r="E11" t="s">
        <v>2221</v>
      </c>
      <c r="F11" t="s">
        <v>2222</v>
      </c>
      <c r="G11" t="s">
        <v>2223</v>
      </c>
      <c r="H11" t="s">
        <v>32</v>
      </c>
      <c r="I11" t="s">
        <v>1921</v>
      </c>
      <c r="L11" t="s">
        <v>25</v>
      </c>
      <c r="M11" t="s">
        <v>2564</v>
      </c>
      <c r="N11" t="s">
        <v>3675</v>
      </c>
    </row>
    <row r="12" spans="1:14" x14ac:dyDescent="0.3">
      <c r="A12" t="s">
        <v>2294</v>
      </c>
      <c r="B12" t="s">
        <v>2295</v>
      </c>
      <c r="C12" s="3">
        <v>71</v>
      </c>
      <c r="D12" t="s">
        <v>2296</v>
      </c>
      <c r="E12" t="s">
        <v>2297</v>
      </c>
      <c r="F12" t="s">
        <v>346</v>
      </c>
      <c r="G12" t="s">
        <v>347</v>
      </c>
      <c r="H12" t="s">
        <v>32</v>
      </c>
      <c r="I12" t="s">
        <v>1921</v>
      </c>
      <c r="J12" t="s">
        <v>2298</v>
      </c>
      <c r="K12" t="s">
        <v>2299</v>
      </c>
      <c r="L12" t="s">
        <v>25</v>
      </c>
      <c r="M12" t="s">
        <v>2576</v>
      </c>
      <c r="N12" t="s">
        <v>3675</v>
      </c>
    </row>
    <row r="13" spans="1:14" x14ac:dyDescent="0.3">
      <c r="A13" t="s">
        <v>2404</v>
      </c>
      <c r="B13" t="s">
        <v>2405</v>
      </c>
      <c r="C13" s="3">
        <v>65</v>
      </c>
      <c r="D13" t="s">
        <v>2406</v>
      </c>
      <c r="E13" t="s">
        <v>2407</v>
      </c>
      <c r="F13" t="s">
        <v>2408</v>
      </c>
      <c r="G13" t="s">
        <v>2409</v>
      </c>
      <c r="H13" t="s">
        <v>32</v>
      </c>
      <c r="I13" t="s">
        <v>1921</v>
      </c>
      <c r="J13" t="s">
        <v>2410</v>
      </c>
      <c r="L13" t="s">
        <v>25</v>
      </c>
      <c r="M13" t="s">
        <v>2596</v>
      </c>
      <c r="N13" t="s">
        <v>3675</v>
      </c>
    </row>
    <row r="14" spans="1:14" x14ac:dyDescent="0.3">
      <c r="A14" t="s">
        <v>2495</v>
      </c>
      <c r="B14" t="s">
        <v>2496</v>
      </c>
      <c r="C14" s="3">
        <v>64</v>
      </c>
      <c r="D14" t="s">
        <v>2497</v>
      </c>
      <c r="E14" t="s">
        <v>2498</v>
      </c>
      <c r="F14" t="s">
        <v>979</v>
      </c>
      <c r="G14" t="s">
        <v>980</v>
      </c>
      <c r="H14" t="s">
        <v>32</v>
      </c>
      <c r="I14" t="s">
        <v>1921</v>
      </c>
      <c r="J14" t="s">
        <v>2499</v>
      </c>
      <c r="L14" t="s">
        <v>25</v>
      </c>
      <c r="M14" t="s">
        <v>2611</v>
      </c>
      <c r="N14" t="s">
        <v>3674</v>
      </c>
    </row>
    <row r="15" spans="1:14" x14ac:dyDescent="0.3">
      <c r="A15" t="s">
        <v>2311</v>
      </c>
      <c r="B15" t="s">
        <v>2312</v>
      </c>
      <c r="C15" s="3">
        <v>62</v>
      </c>
      <c r="D15" t="s">
        <v>2313</v>
      </c>
      <c r="E15" t="s">
        <v>2314</v>
      </c>
      <c r="F15" t="s">
        <v>136</v>
      </c>
      <c r="G15" t="s">
        <v>137</v>
      </c>
      <c r="H15" t="s">
        <v>32</v>
      </c>
      <c r="I15" t="s">
        <v>1921</v>
      </c>
      <c r="L15" t="s">
        <v>25</v>
      </c>
      <c r="M15" t="s">
        <v>2579</v>
      </c>
      <c r="N15" t="s">
        <v>3674</v>
      </c>
    </row>
    <row r="16" spans="1:14" x14ac:dyDescent="0.3">
      <c r="A16" t="s">
        <v>1984</v>
      </c>
      <c r="B16" t="s">
        <v>1490</v>
      </c>
      <c r="C16" s="3">
        <v>59</v>
      </c>
      <c r="D16" t="s">
        <v>1985</v>
      </c>
      <c r="E16" t="s">
        <v>1986</v>
      </c>
      <c r="F16" t="s">
        <v>1987</v>
      </c>
      <c r="G16" t="s">
        <v>1988</v>
      </c>
      <c r="H16" t="s">
        <v>32</v>
      </c>
      <c r="I16" t="s">
        <v>1921</v>
      </c>
      <c r="J16" t="s">
        <v>1989</v>
      </c>
      <c r="K16" t="s">
        <v>1990</v>
      </c>
      <c r="L16" t="s">
        <v>25</v>
      </c>
      <c r="M16" t="s">
        <v>2518</v>
      </c>
      <c r="N16" t="s">
        <v>3674</v>
      </c>
    </row>
    <row r="17" spans="1:14" x14ac:dyDescent="0.3">
      <c r="A17" t="s">
        <v>2054</v>
      </c>
      <c r="B17" t="s">
        <v>2055</v>
      </c>
      <c r="C17" s="3">
        <v>58</v>
      </c>
      <c r="D17" t="s">
        <v>2056</v>
      </c>
      <c r="E17" t="s">
        <v>2057</v>
      </c>
      <c r="F17" t="s">
        <v>565</v>
      </c>
      <c r="G17" t="s">
        <v>566</v>
      </c>
      <c r="H17" t="s">
        <v>32</v>
      </c>
      <c r="I17" t="s">
        <v>1921</v>
      </c>
      <c r="J17" t="s">
        <v>2058</v>
      </c>
      <c r="L17" t="s">
        <v>25</v>
      </c>
      <c r="M17" t="s">
        <v>2518</v>
      </c>
      <c r="N17" t="s">
        <v>3675</v>
      </c>
    </row>
    <row r="18" spans="1:14" x14ac:dyDescent="0.3">
      <c r="A18" t="s">
        <v>2411</v>
      </c>
      <c r="B18" t="s">
        <v>2412</v>
      </c>
      <c r="C18" s="3">
        <v>54</v>
      </c>
      <c r="D18" t="s">
        <v>2413</v>
      </c>
      <c r="E18" t="s">
        <v>2414</v>
      </c>
      <c r="F18" t="s">
        <v>128</v>
      </c>
      <c r="G18" t="s">
        <v>129</v>
      </c>
      <c r="H18" t="s">
        <v>32</v>
      </c>
      <c r="I18" t="s">
        <v>1921</v>
      </c>
      <c r="J18" t="s">
        <v>2415</v>
      </c>
      <c r="L18" t="s">
        <v>25</v>
      </c>
      <c r="M18" t="s">
        <v>2597</v>
      </c>
      <c r="N18" t="s">
        <v>3675</v>
      </c>
    </row>
    <row r="19" spans="1:14" x14ac:dyDescent="0.3">
      <c r="A19" t="s">
        <v>2451</v>
      </c>
      <c r="B19" t="s">
        <v>2452</v>
      </c>
      <c r="C19" s="3">
        <v>51</v>
      </c>
      <c r="D19" t="s">
        <v>2453</v>
      </c>
      <c r="E19" t="s">
        <v>2454</v>
      </c>
      <c r="F19" t="s">
        <v>208</v>
      </c>
      <c r="G19" t="s">
        <v>209</v>
      </c>
      <c r="H19" t="s">
        <v>32</v>
      </c>
      <c r="I19" t="s">
        <v>1921</v>
      </c>
      <c r="K19" t="s">
        <v>2455</v>
      </c>
      <c r="L19" t="s">
        <v>25</v>
      </c>
      <c r="M19" t="s">
        <v>2604</v>
      </c>
      <c r="N19" t="s">
        <v>3675</v>
      </c>
    </row>
    <row r="20" spans="1:14" x14ac:dyDescent="0.3">
      <c r="A20" t="s">
        <v>2018</v>
      </c>
      <c r="B20" t="s">
        <v>2019</v>
      </c>
      <c r="C20" s="3">
        <v>48</v>
      </c>
      <c r="D20" t="s">
        <v>2020</v>
      </c>
      <c r="E20" t="s">
        <v>2021</v>
      </c>
      <c r="F20" t="s">
        <v>63</v>
      </c>
      <c r="G20" t="s">
        <v>64</v>
      </c>
      <c r="H20" t="s">
        <v>23</v>
      </c>
      <c r="I20" t="s">
        <v>1921</v>
      </c>
      <c r="J20" t="s">
        <v>2022</v>
      </c>
      <c r="K20" t="s">
        <v>2023</v>
      </c>
      <c r="L20" t="s">
        <v>25</v>
      </c>
      <c r="M20" t="s">
        <v>2524</v>
      </c>
      <c r="N20" t="s">
        <v>3675</v>
      </c>
    </row>
    <row r="21" spans="1:14" x14ac:dyDescent="0.3">
      <c r="A21" t="s">
        <v>2066</v>
      </c>
      <c r="B21" t="s">
        <v>2067</v>
      </c>
      <c r="C21" s="3">
        <v>48</v>
      </c>
      <c r="D21" t="s">
        <v>2068</v>
      </c>
      <c r="E21" t="s">
        <v>2069</v>
      </c>
      <c r="F21" t="s">
        <v>2070</v>
      </c>
      <c r="G21" t="s">
        <v>2071</v>
      </c>
      <c r="H21" t="s">
        <v>32</v>
      </c>
      <c r="I21" t="s">
        <v>1921</v>
      </c>
      <c r="J21" t="s">
        <v>2072</v>
      </c>
      <c r="K21" t="s">
        <v>2073</v>
      </c>
      <c r="L21" t="s">
        <v>25</v>
      </c>
      <c r="M21" t="s">
        <v>2536</v>
      </c>
      <c r="N21" t="s">
        <v>3675</v>
      </c>
    </row>
    <row r="22" spans="1:14" x14ac:dyDescent="0.3">
      <c r="A22" t="s">
        <v>2099</v>
      </c>
      <c r="B22" t="s">
        <v>2100</v>
      </c>
      <c r="C22" s="3">
        <v>47</v>
      </c>
      <c r="D22" t="s">
        <v>2101</v>
      </c>
      <c r="E22" t="s">
        <v>2102</v>
      </c>
      <c r="F22" t="s">
        <v>1478</v>
      </c>
      <c r="G22" t="s">
        <v>1479</v>
      </c>
      <c r="H22" t="s">
        <v>32</v>
      </c>
      <c r="I22" t="s">
        <v>1921</v>
      </c>
      <c r="J22" t="s">
        <v>2103</v>
      </c>
      <c r="L22" t="s">
        <v>25</v>
      </c>
      <c r="M22" t="s">
        <v>2541</v>
      </c>
      <c r="N22" t="s">
        <v>3675</v>
      </c>
    </row>
    <row r="23" spans="1:14" x14ac:dyDescent="0.3">
      <c r="A23" t="s">
        <v>2104</v>
      </c>
      <c r="B23" t="s">
        <v>690</v>
      </c>
      <c r="C23" s="3">
        <v>47</v>
      </c>
      <c r="D23" t="s">
        <v>2105</v>
      </c>
      <c r="E23" t="s">
        <v>2106</v>
      </c>
      <c r="F23" t="s">
        <v>955</v>
      </c>
      <c r="G23" t="s">
        <v>956</v>
      </c>
      <c r="H23" t="s">
        <v>32</v>
      </c>
      <c r="I23" t="s">
        <v>1921</v>
      </c>
      <c r="J23" t="s">
        <v>2107</v>
      </c>
      <c r="L23" t="s">
        <v>25</v>
      </c>
      <c r="M23" t="s">
        <v>2542</v>
      </c>
      <c r="N23" t="s">
        <v>3675</v>
      </c>
    </row>
    <row r="24" spans="1:14" x14ac:dyDescent="0.3">
      <c r="A24" t="s">
        <v>2090</v>
      </c>
      <c r="B24" t="s">
        <v>2091</v>
      </c>
      <c r="C24" s="3">
        <v>46</v>
      </c>
      <c r="D24" t="s">
        <v>2092</v>
      </c>
      <c r="E24" t="s">
        <v>2093</v>
      </c>
      <c r="F24" t="s">
        <v>346</v>
      </c>
      <c r="G24" t="s">
        <v>347</v>
      </c>
      <c r="H24" t="s">
        <v>32</v>
      </c>
      <c r="I24" t="s">
        <v>1921</v>
      </c>
      <c r="L24" t="s">
        <v>25</v>
      </c>
      <c r="M24" t="s">
        <v>2539</v>
      </c>
      <c r="N24" t="s">
        <v>3675</v>
      </c>
    </row>
    <row r="25" spans="1:14" x14ac:dyDescent="0.3">
      <c r="A25" t="s">
        <v>2181</v>
      </c>
      <c r="B25" t="s">
        <v>2182</v>
      </c>
      <c r="C25" s="3">
        <v>46</v>
      </c>
      <c r="D25" t="s">
        <v>2183</v>
      </c>
      <c r="E25" t="s">
        <v>2184</v>
      </c>
      <c r="F25" t="s">
        <v>544</v>
      </c>
      <c r="G25" t="s">
        <v>545</v>
      </c>
      <c r="H25" t="s">
        <v>32</v>
      </c>
      <c r="I25" t="s">
        <v>1921</v>
      </c>
      <c r="L25" t="s">
        <v>25</v>
      </c>
      <c r="M25" t="s">
        <v>2557</v>
      </c>
      <c r="N25" t="s">
        <v>3675</v>
      </c>
    </row>
    <row r="26" spans="1:14" x14ac:dyDescent="0.3">
      <c r="A26" t="s">
        <v>2380</v>
      </c>
      <c r="B26" t="s">
        <v>2381</v>
      </c>
      <c r="C26" s="3">
        <v>46</v>
      </c>
      <c r="D26" t="s">
        <v>2382</v>
      </c>
      <c r="E26" t="s">
        <v>2383</v>
      </c>
      <c r="F26" t="s">
        <v>99</v>
      </c>
      <c r="G26" t="s">
        <v>100</v>
      </c>
      <c r="H26" t="s">
        <v>32</v>
      </c>
      <c r="I26" t="s">
        <v>1921</v>
      </c>
      <c r="J26" t="s">
        <v>2384</v>
      </c>
      <c r="L26" t="s">
        <v>25</v>
      </c>
      <c r="M26" t="s">
        <v>2592</v>
      </c>
      <c r="N26" t="s">
        <v>3675</v>
      </c>
    </row>
    <row r="27" spans="1:14" x14ac:dyDescent="0.3">
      <c r="A27" t="s">
        <v>2385</v>
      </c>
      <c r="B27" t="s">
        <v>1812</v>
      </c>
      <c r="C27" s="3">
        <v>45</v>
      </c>
      <c r="D27" t="s">
        <v>2386</v>
      </c>
      <c r="E27" t="s">
        <v>2387</v>
      </c>
      <c r="F27" t="s">
        <v>2388</v>
      </c>
      <c r="G27" t="s">
        <v>2389</v>
      </c>
      <c r="H27" t="s">
        <v>32</v>
      </c>
      <c r="I27" t="s">
        <v>1921</v>
      </c>
      <c r="J27" t="s">
        <v>2390</v>
      </c>
      <c r="K27" t="s">
        <v>2391</v>
      </c>
      <c r="L27" t="s">
        <v>25</v>
      </c>
      <c r="M27" t="s">
        <v>2593</v>
      </c>
      <c r="N27" t="s">
        <v>3673</v>
      </c>
    </row>
    <row r="28" spans="1:14" x14ac:dyDescent="0.3">
      <c r="A28" t="s">
        <v>1954</v>
      </c>
      <c r="B28" t="s">
        <v>1955</v>
      </c>
      <c r="C28" s="3">
        <v>44</v>
      </c>
      <c r="D28" t="s">
        <v>1956</v>
      </c>
      <c r="E28" t="s">
        <v>1957</v>
      </c>
      <c r="F28" t="s">
        <v>1808</v>
      </c>
      <c r="G28" t="s">
        <v>1809</v>
      </c>
      <c r="H28" t="s">
        <v>32</v>
      </c>
      <c r="I28" t="s">
        <v>1921</v>
      </c>
      <c r="J28" t="s">
        <v>1958</v>
      </c>
      <c r="L28" t="s">
        <v>25</v>
      </c>
      <c r="M28" t="s">
        <v>2529</v>
      </c>
      <c r="N28" t="s">
        <v>3675</v>
      </c>
    </row>
    <row r="29" spans="1:14" x14ac:dyDescent="0.3">
      <c r="A29" t="s">
        <v>2270</v>
      </c>
      <c r="B29" t="s">
        <v>2271</v>
      </c>
      <c r="C29" s="3">
        <v>43</v>
      </c>
      <c r="D29" t="s">
        <v>2272</v>
      </c>
      <c r="E29" t="s">
        <v>2273</v>
      </c>
      <c r="F29" t="s">
        <v>143</v>
      </c>
      <c r="G29" t="s">
        <v>144</v>
      </c>
      <c r="H29" t="s">
        <v>32</v>
      </c>
      <c r="I29" t="s">
        <v>1921</v>
      </c>
      <c r="L29" t="s">
        <v>25</v>
      </c>
      <c r="M29" t="s">
        <v>2561</v>
      </c>
      <c r="N29" t="s">
        <v>3675</v>
      </c>
    </row>
    <row r="30" spans="1:14" x14ac:dyDescent="0.3">
      <c r="A30" t="s">
        <v>1963</v>
      </c>
      <c r="B30" t="s">
        <v>1964</v>
      </c>
      <c r="C30" s="3">
        <v>42</v>
      </c>
      <c r="D30" t="s">
        <v>1965</v>
      </c>
      <c r="E30" t="s">
        <v>1966</v>
      </c>
      <c r="F30" t="s">
        <v>285</v>
      </c>
      <c r="G30" t="s">
        <v>286</v>
      </c>
      <c r="H30" t="s">
        <v>23</v>
      </c>
      <c r="I30" t="s">
        <v>1921</v>
      </c>
      <c r="J30" t="s">
        <v>1967</v>
      </c>
      <c r="L30" t="s">
        <v>25</v>
      </c>
      <c r="M30" t="s">
        <v>2515</v>
      </c>
      <c r="N30" t="s">
        <v>3675</v>
      </c>
    </row>
    <row r="31" spans="1:14" x14ac:dyDescent="0.3">
      <c r="A31" t="s">
        <v>2195</v>
      </c>
      <c r="B31" t="s">
        <v>2196</v>
      </c>
      <c r="C31" s="3">
        <v>41</v>
      </c>
      <c r="D31" t="s">
        <v>2197</v>
      </c>
      <c r="E31" t="s">
        <v>2198</v>
      </c>
      <c r="F31" t="s">
        <v>412</v>
      </c>
      <c r="G31" t="s">
        <v>413</v>
      </c>
      <c r="H31" t="s">
        <v>32</v>
      </c>
      <c r="I31" t="s">
        <v>1921</v>
      </c>
      <c r="L31" t="s">
        <v>25</v>
      </c>
      <c r="M31" t="s">
        <v>2560</v>
      </c>
      <c r="N31" t="s">
        <v>3673</v>
      </c>
    </row>
    <row r="32" spans="1:14" x14ac:dyDescent="0.3">
      <c r="A32" t="s">
        <v>2132</v>
      </c>
      <c r="B32" t="s">
        <v>2133</v>
      </c>
      <c r="C32" s="3">
        <v>40</v>
      </c>
      <c r="D32" t="s">
        <v>2134</v>
      </c>
      <c r="E32" t="s">
        <v>2135</v>
      </c>
      <c r="F32" t="s">
        <v>393</v>
      </c>
      <c r="G32" t="s">
        <v>394</v>
      </c>
      <c r="H32" t="s">
        <v>23</v>
      </c>
      <c r="I32" t="s">
        <v>1921</v>
      </c>
      <c r="J32" t="s">
        <v>2136</v>
      </c>
      <c r="L32" t="s">
        <v>25</v>
      </c>
      <c r="M32" t="s">
        <v>2547</v>
      </c>
      <c r="N32" t="s">
        <v>3675</v>
      </c>
    </row>
    <row r="33" spans="1:14" x14ac:dyDescent="0.3">
      <c r="A33" t="s">
        <v>2205</v>
      </c>
      <c r="B33" t="s">
        <v>2206</v>
      </c>
      <c r="C33" s="3">
        <v>39</v>
      </c>
      <c r="D33" t="s">
        <v>2207</v>
      </c>
      <c r="E33" t="s">
        <v>2208</v>
      </c>
      <c r="F33" t="s">
        <v>2209</v>
      </c>
      <c r="G33" t="s">
        <v>2210</v>
      </c>
      <c r="H33" t="s">
        <v>32</v>
      </c>
      <c r="I33" t="s">
        <v>1921</v>
      </c>
      <c r="L33" t="s">
        <v>25</v>
      </c>
      <c r="M33" t="s">
        <v>2562</v>
      </c>
      <c r="N33" t="s">
        <v>3675</v>
      </c>
    </row>
    <row r="34" spans="1:14" x14ac:dyDescent="0.3">
      <c r="A34" t="s">
        <v>2199</v>
      </c>
      <c r="B34" t="s">
        <v>2200</v>
      </c>
      <c r="C34" s="3">
        <v>38</v>
      </c>
      <c r="D34" t="s">
        <v>2201</v>
      </c>
      <c r="E34" t="s">
        <v>2202</v>
      </c>
      <c r="F34" t="s">
        <v>39</v>
      </c>
      <c r="G34" t="s">
        <v>40</v>
      </c>
      <c r="H34" t="s">
        <v>23</v>
      </c>
      <c r="I34" t="s">
        <v>1921</v>
      </c>
      <c r="J34" t="s">
        <v>2203</v>
      </c>
      <c r="K34" t="s">
        <v>2204</v>
      </c>
      <c r="L34" t="s">
        <v>25</v>
      </c>
      <c r="M34" t="s">
        <v>2561</v>
      </c>
      <c r="N34" t="s">
        <v>3673</v>
      </c>
    </row>
    <row r="35" spans="1:14" x14ac:dyDescent="0.3">
      <c r="A35" t="s">
        <v>2274</v>
      </c>
      <c r="B35" t="s">
        <v>2275</v>
      </c>
      <c r="C35" s="3">
        <v>37</v>
      </c>
      <c r="D35" t="s">
        <v>2276</v>
      </c>
      <c r="E35" t="s">
        <v>2277</v>
      </c>
      <c r="F35" t="s">
        <v>305</v>
      </c>
      <c r="G35" t="s">
        <v>306</v>
      </c>
      <c r="H35" t="s">
        <v>32</v>
      </c>
      <c r="I35" t="s">
        <v>1921</v>
      </c>
      <c r="J35" t="s">
        <v>2278</v>
      </c>
      <c r="K35" t="s">
        <v>2279</v>
      </c>
      <c r="L35" t="s">
        <v>25</v>
      </c>
      <c r="M35" t="s">
        <v>2573</v>
      </c>
      <c r="N35" t="s">
        <v>3674</v>
      </c>
    </row>
    <row r="36" spans="1:14" x14ac:dyDescent="0.3">
      <c r="A36" t="s">
        <v>2471</v>
      </c>
      <c r="B36" t="s">
        <v>2472</v>
      </c>
      <c r="C36" s="3">
        <v>36</v>
      </c>
      <c r="D36" t="s">
        <v>2473</v>
      </c>
      <c r="E36" t="s">
        <v>2474</v>
      </c>
      <c r="F36" t="s">
        <v>1103</v>
      </c>
      <c r="G36" t="s">
        <v>1104</v>
      </c>
      <c r="H36" t="s">
        <v>32</v>
      </c>
      <c r="I36" t="s">
        <v>1921</v>
      </c>
      <c r="J36" t="s">
        <v>2475</v>
      </c>
      <c r="L36" t="s">
        <v>25</v>
      </c>
      <c r="M36" t="s">
        <v>2607</v>
      </c>
      <c r="N36" t="s">
        <v>3675</v>
      </c>
    </row>
    <row r="37" spans="1:14" x14ac:dyDescent="0.3">
      <c r="A37" t="s">
        <v>2048</v>
      </c>
      <c r="B37" t="s">
        <v>2049</v>
      </c>
      <c r="C37" s="3">
        <v>35</v>
      </c>
      <c r="D37" t="s">
        <v>2050</v>
      </c>
      <c r="E37" t="s">
        <v>2051</v>
      </c>
      <c r="F37" t="s">
        <v>2052</v>
      </c>
      <c r="G37" t="s">
        <v>2053</v>
      </c>
      <c r="H37" t="s">
        <v>23</v>
      </c>
      <c r="I37" t="s">
        <v>1921</v>
      </c>
      <c r="L37" t="s">
        <v>25</v>
      </c>
      <c r="M37" t="s">
        <v>2534</v>
      </c>
      <c r="N37" t="s">
        <v>3675</v>
      </c>
    </row>
    <row r="38" spans="1:14" x14ac:dyDescent="0.3">
      <c r="A38" t="s">
        <v>1991</v>
      </c>
      <c r="B38" t="s">
        <v>1992</v>
      </c>
      <c r="C38" s="3">
        <v>34</v>
      </c>
      <c r="D38" t="s">
        <v>1993</v>
      </c>
      <c r="E38" t="s">
        <v>1994</v>
      </c>
      <c r="F38" t="s">
        <v>298</v>
      </c>
      <c r="G38" t="s">
        <v>299</v>
      </c>
      <c r="H38" t="s">
        <v>32</v>
      </c>
      <c r="I38" t="s">
        <v>1921</v>
      </c>
      <c r="J38" t="s">
        <v>1995</v>
      </c>
      <c r="K38" t="s">
        <v>1996</v>
      </c>
      <c r="L38" t="s">
        <v>25</v>
      </c>
      <c r="M38" t="s">
        <v>2519</v>
      </c>
      <c r="N38" t="s">
        <v>3675</v>
      </c>
    </row>
    <row r="39" spans="1:14" x14ac:dyDescent="0.3">
      <c r="A39" t="s">
        <v>2000</v>
      </c>
      <c r="B39" t="s">
        <v>2001</v>
      </c>
      <c r="C39" s="3">
        <v>34</v>
      </c>
      <c r="D39" t="s">
        <v>2002</v>
      </c>
      <c r="E39" t="s">
        <v>2003</v>
      </c>
      <c r="F39" t="s">
        <v>1802</v>
      </c>
      <c r="G39" t="s">
        <v>1803</v>
      </c>
      <c r="H39" t="s">
        <v>23</v>
      </c>
      <c r="I39" t="s">
        <v>1921</v>
      </c>
      <c r="K39" t="s">
        <v>2004</v>
      </c>
      <c r="L39" t="s">
        <v>25</v>
      </c>
      <c r="M39" t="s">
        <v>2521</v>
      </c>
      <c r="N39" t="s">
        <v>3675</v>
      </c>
    </row>
    <row r="40" spans="1:14" x14ac:dyDescent="0.3">
      <c r="A40" t="s">
        <v>2265</v>
      </c>
      <c r="B40" t="s">
        <v>2266</v>
      </c>
      <c r="C40" s="3">
        <v>34</v>
      </c>
      <c r="D40" t="s">
        <v>2267</v>
      </c>
      <c r="E40" t="s">
        <v>2268</v>
      </c>
      <c r="F40" t="s">
        <v>1124</v>
      </c>
      <c r="G40" t="s">
        <v>1125</v>
      </c>
      <c r="H40" t="s">
        <v>23</v>
      </c>
      <c r="I40" t="s">
        <v>1921</v>
      </c>
      <c r="J40" t="s">
        <v>2269</v>
      </c>
      <c r="L40" t="s">
        <v>25</v>
      </c>
      <c r="M40" t="s">
        <v>2572</v>
      </c>
      <c r="N40" t="s">
        <v>3675</v>
      </c>
    </row>
    <row r="41" spans="1:14" x14ac:dyDescent="0.3">
      <c r="A41" t="s">
        <v>2163</v>
      </c>
      <c r="B41" t="s">
        <v>2164</v>
      </c>
      <c r="C41" s="3">
        <v>33</v>
      </c>
      <c r="D41" t="s">
        <v>2165</v>
      </c>
      <c r="E41" t="s">
        <v>2166</v>
      </c>
      <c r="F41" t="s">
        <v>2167</v>
      </c>
      <c r="G41" t="s">
        <v>2168</v>
      </c>
      <c r="H41" t="s">
        <v>23</v>
      </c>
      <c r="I41" t="s">
        <v>1921</v>
      </c>
      <c r="J41" t="s">
        <v>2169</v>
      </c>
      <c r="K41" t="s">
        <v>2170</v>
      </c>
      <c r="L41" t="s">
        <v>25</v>
      </c>
      <c r="M41" t="s">
        <v>2554</v>
      </c>
      <c r="N41" t="s">
        <v>3675</v>
      </c>
    </row>
    <row r="42" spans="1:14" x14ac:dyDescent="0.3">
      <c r="A42" t="s">
        <v>2086</v>
      </c>
      <c r="B42" t="s">
        <v>2087</v>
      </c>
      <c r="C42" s="3">
        <v>32</v>
      </c>
      <c r="D42" t="s">
        <v>2088</v>
      </c>
      <c r="E42" t="s">
        <v>2089</v>
      </c>
      <c r="F42" t="s">
        <v>687</v>
      </c>
      <c r="G42" t="s">
        <v>688</v>
      </c>
      <c r="H42" t="s">
        <v>23</v>
      </c>
      <c r="I42" t="s">
        <v>1921</v>
      </c>
      <c r="L42" t="s">
        <v>25</v>
      </c>
      <c r="M42" t="s">
        <v>2538</v>
      </c>
      <c r="N42" t="s">
        <v>3675</v>
      </c>
    </row>
    <row r="43" spans="1:14" x14ac:dyDescent="0.3">
      <c r="A43" t="s">
        <v>2149</v>
      </c>
      <c r="B43" t="s">
        <v>2150</v>
      </c>
      <c r="C43" s="3">
        <v>32</v>
      </c>
      <c r="D43" t="s">
        <v>2151</v>
      </c>
      <c r="E43" t="s">
        <v>2152</v>
      </c>
      <c r="F43" t="s">
        <v>214</v>
      </c>
      <c r="G43" t="s">
        <v>215</v>
      </c>
      <c r="H43" t="s">
        <v>32</v>
      </c>
      <c r="I43" t="s">
        <v>1921</v>
      </c>
      <c r="J43" t="s">
        <v>2153</v>
      </c>
      <c r="L43" t="s">
        <v>25</v>
      </c>
      <c r="M43" t="s">
        <v>2551</v>
      </c>
      <c r="N43" t="s">
        <v>3674</v>
      </c>
    </row>
    <row r="44" spans="1:14" x14ac:dyDescent="0.3">
      <c r="A44" t="s">
        <v>2334</v>
      </c>
      <c r="B44" t="s">
        <v>2335</v>
      </c>
      <c r="C44" s="3">
        <v>32</v>
      </c>
      <c r="D44" t="s">
        <v>2336</v>
      </c>
      <c r="E44" t="s">
        <v>2337</v>
      </c>
      <c r="F44" t="s">
        <v>1243</v>
      </c>
      <c r="G44" t="s">
        <v>1244</v>
      </c>
      <c r="H44" t="s">
        <v>32</v>
      </c>
      <c r="I44" t="s">
        <v>1921</v>
      </c>
      <c r="J44" t="s">
        <v>2338</v>
      </c>
      <c r="L44" t="s">
        <v>25</v>
      </c>
      <c r="M44" t="s">
        <v>2583</v>
      </c>
      <c r="N44" t="s">
        <v>3675</v>
      </c>
    </row>
    <row r="45" spans="1:14" x14ac:dyDescent="0.3">
      <c r="A45" t="s">
        <v>2416</v>
      </c>
      <c r="B45" t="s">
        <v>2417</v>
      </c>
      <c r="C45" s="3">
        <v>32</v>
      </c>
      <c r="D45" t="s">
        <v>2418</v>
      </c>
      <c r="E45" t="s">
        <v>2419</v>
      </c>
      <c r="F45" t="s">
        <v>136</v>
      </c>
      <c r="G45" t="s">
        <v>137</v>
      </c>
      <c r="H45" t="s">
        <v>23</v>
      </c>
      <c r="I45" t="s">
        <v>1921</v>
      </c>
      <c r="J45" t="s">
        <v>2420</v>
      </c>
      <c r="K45" t="s">
        <v>2421</v>
      </c>
      <c r="L45" t="s">
        <v>25</v>
      </c>
      <c r="M45" t="s">
        <v>2598</v>
      </c>
      <c r="N45" t="s">
        <v>3675</v>
      </c>
    </row>
    <row r="46" spans="1:14" x14ac:dyDescent="0.3">
      <c r="A46" t="s">
        <v>1978</v>
      </c>
      <c r="B46" t="s">
        <v>1979</v>
      </c>
      <c r="C46" s="3">
        <v>31</v>
      </c>
      <c r="D46" t="s">
        <v>1980</v>
      </c>
      <c r="E46" t="s">
        <v>1981</v>
      </c>
      <c r="F46" t="s">
        <v>393</v>
      </c>
      <c r="G46" t="s">
        <v>394</v>
      </c>
      <c r="H46" t="s">
        <v>23</v>
      </c>
      <c r="I46" t="s">
        <v>1921</v>
      </c>
      <c r="J46" t="s">
        <v>1982</v>
      </c>
      <c r="K46" t="s">
        <v>1983</v>
      </c>
      <c r="L46" t="s">
        <v>25</v>
      </c>
      <c r="M46" t="s">
        <v>2517</v>
      </c>
      <c r="N46" t="s">
        <v>3675</v>
      </c>
    </row>
    <row r="47" spans="1:14" x14ac:dyDescent="0.3">
      <c r="A47" t="s">
        <v>2236</v>
      </c>
      <c r="B47" t="s">
        <v>2237</v>
      </c>
      <c r="C47" s="3">
        <v>31</v>
      </c>
      <c r="D47" t="s">
        <v>2238</v>
      </c>
      <c r="E47" t="s">
        <v>2239</v>
      </c>
      <c r="F47" t="s">
        <v>679</v>
      </c>
      <c r="G47" t="s">
        <v>680</v>
      </c>
      <c r="H47" t="s">
        <v>32</v>
      </c>
      <c r="I47" t="s">
        <v>1921</v>
      </c>
      <c r="J47" t="s">
        <v>2240</v>
      </c>
      <c r="K47" t="s">
        <v>2241</v>
      </c>
      <c r="L47" t="s">
        <v>25</v>
      </c>
      <c r="M47" t="s">
        <v>2567</v>
      </c>
      <c r="N47" t="s">
        <v>3673</v>
      </c>
    </row>
    <row r="48" spans="1:14" x14ac:dyDescent="0.3">
      <c r="A48" t="s">
        <v>2315</v>
      </c>
      <c r="B48" t="s">
        <v>2316</v>
      </c>
      <c r="C48" s="3">
        <v>31</v>
      </c>
      <c r="D48" t="s">
        <v>2317</v>
      </c>
      <c r="E48" t="s">
        <v>2318</v>
      </c>
      <c r="F48" t="s">
        <v>229</v>
      </c>
      <c r="G48" t="s">
        <v>230</v>
      </c>
      <c r="H48" t="s">
        <v>32</v>
      </c>
      <c r="I48" t="s">
        <v>1921</v>
      </c>
      <c r="J48" t="s">
        <v>2319</v>
      </c>
      <c r="K48" t="s">
        <v>2320</v>
      </c>
      <c r="L48" t="s">
        <v>25</v>
      </c>
      <c r="M48" t="s">
        <v>2580</v>
      </c>
      <c r="N48" t="s">
        <v>3675</v>
      </c>
    </row>
    <row r="49" spans="1:14" x14ac:dyDescent="0.3">
      <c r="A49" t="s">
        <v>2248</v>
      </c>
      <c r="B49" t="s">
        <v>2249</v>
      </c>
      <c r="C49" s="3">
        <v>30</v>
      </c>
      <c r="D49" t="s">
        <v>2250</v>
      </c>
      <c r="E49" t="s">
        <v>2251</v>
      </c>
      <c r="F49" t="s">
        <v>2252</v>
      </c>
      <c r="G49" t="s">
        <v>2253</v>
      </c>
      <c r="H49" t="s">
        <v>23</v>
      </c>
      <c r="I49" t="s">
        <v>1921</v>
      </c>
      <c r="L49" t="s">
        <v>25</v>
      </c>
      <c r="M49" t="s">
        <v>2569</v>
      </c>
      <c r="N49" t="s">
        <v>3675</v>
      </c>
    </row>
    <row r="50" spans="1:14" x14ac:dyDescent="0.3">
      <c r="A50" t="s">
        <v>2350</v>
      </c>
      <c r="B50" t="s">
        <v>2351</v>
      </c>
      <c r="C50" s="3">
        <v>29</v>
      </c>
      <c r="D50" t="s">
        <v>2352</v>
      </c>
      <c r="E50" t="s">
        <v>2353</v>
      </c>
      <c r="F50" t="s">
        <v>39</v>
      </c>
      <c r="G50" t="s">
        <v>40</v>
      </c>
      <c r="H50" t="s">
        <v>32</v>
      </c>
      <c r="I50" t="s">
        <v>1921</v>
      </c>
      <c r="L50" t="s">
        <v>25</v>
      </c>
      <c r="M50" t="s">
        <v>2586</v>
      </c>
      <c r="N50" t="s">
        <v>3674</v>
      </c>
    </row>
    <row r="51" spans="1:14" x14ac:dyDescent="0.3">
      <c r="A51" t="s">
        <v>2185</v>
      </c>
      <c r="B51" t="s">
        <v>2186</v>
      </c>
      <c r="C51" s="3">
        <v>28</v>
      </c>
      <c r="D51" t="s">
        <v>2187</v>
      </c>
      <c r="E51" t="s">
        <v>2188</v>
      </c>
      <c r="F51" t="s">
        <v>485</v>
      </c>
      <c r="G51" t="s">
        <v>486</v>
      </c>
      <c r="H51" t="s">
        <v>32</v>
      </c>
      <c r="I51" t="s">
        <v>1921</v>
      </c>
      <c r="J51" t="s">
        <v>2189</v>
      </c>
      <c r="L51" t="s">
        <v>25</v>
      </c>
      <c r="M51" t="s">
        <v>2558</v>
      </c>
      <c r="N51" t="s">
        <v>3674</v>
      </c>
    </row>
    <row r="52" spans="1:14" x14ac:dyDescent="0.3">
      <c r="A52" t="s">
        <v>2321</v>
      </c>
      <c r="B52" t="s">
        <v>2322</v>
      </c>
      <c r="C52" s="3">
        <v>28</v>
      </c>
      <c r="D52" t="s">
        <v>2323</v>
      </c>
      <c r="E52" t="s">
        <v>2324</v>
      </c>
      <c r="F52" t="s">
        <v>2325</v>
      </c>
      <c r="G52" t="s">
        <v>2326</v>
      </c>
      <c r="H52" t="s">
        <v>23</v>
      </c>
      <c r="I52" t="s">
        <v>1921</v>
      </c>
      <c r="J52" t="s">
        <v>2327</v>
      </c>
      <c r="L52" t="s">
        <v>25</v>
      </c>
      <c r="M52" t="s">
        <v>2581</v>
      </c>
      <c r="N52" t="s">
        <v>3675</v>
      </c>
    </row>
    <row r="53" spans="1:14" x14ac:dyDescent="0.3">
      <c r="A53" t="s">
        <v>2371</v>
      </c>
      <c r="B53" t="s">
        <v>1183</v>
      </c>
      <c r="C53" s="3">
        <v>28</v>
      </c>
      <c r="D53" t="s">
        <v>2372</v>
      </c>
      <c r="E53" t="s">
        <v>2373</v>
      </c>
      <c r="F53" t="s">
        <v>1802</v>
      </c>
      <c r="G53" t="s">
        <v>1803</v>
      </c>
      <c r="H53" t="s">
        <v>23</v>
      </c>
      <c r="I53" t="s">
        <v>1921</v>
      </c>
      <c r="J53" t="s">
        <v>2374</v>
      </c>
      <c r="K53" t="s">
        <v>2375</v>
      </c>
      <c r="L53" t="s">
        <v>25</v>
      </c>
      <c r="M53" t="s">
        <v>2590</v>
      </c>
      <c r="N53" t="s">
        <v>3675</v>
      </c>
    </row>
    <row r="54" spans="1:14" x14ac:dyDescent="0.3">
      <c r="A54" t="s">
        <v>2482</v>
      </c>
      <c r="B54" t="s">
        <v>1423</v>
      </c>
      <c r="C54" s="3">
        <v>28</v>
      </c>
      <c r="D54" t="s">
        <v>2483</v>
      </c>
      <c r="E54" t="s">
        <v>2484</v>
      </c>
      <c r="F54" t="s">
        <v>2228</v>
      </c>
      <c r="G54" t="s">
        <v>2229</v>
      </c>
      <c r="H54" t="s">
        <v>23</v>
      </c>
      <c r="I54" t="s">
        <v>1921</v>
      </c>
      <c r="J54" t="s">
        <v>2485</v>
      </c>
      <c r="K54" t="s">
        <v>2486</v>
      </c>
      <c r="L54" t="s">
        <v>25</v>
      </c>
      <c r="M54" t="s">
        <v>2609</v>
      </c>
      <c r="N54" t="s">
        <v>3675</v>
      </c>
    </row>
    <row r="55" spans="1:14" x14ac:dyDescent="0.3">
      <c r="A55" t="s">
        <v>2354</v>
      </c>
      <c r="B55" t="s">
        <v>2355</v>
      </c>
      <c r="C55" s="3">
        <v>27</v>
      </c>
      <c r="D55" t="s">
        <v>2356</v>
      </c>
      <c r="E55" t="s">
        <v>2357</v>
      </c>
      <c r="F55" t="s">
        <v>2358</v>
      </c>
      <c r="G55" t="s">
        <v>2359</v>
      </c>
      <c r="H55" t="s">
        <v>23</v>
      </c>
      <c r="I55" t="s">
        <v>1921</v>
      </c>
      <c r="J55" t="s">
        <v>2360</v>
      </c>
      <c r="L55" t="s">
        <v>25</v>
      </c>
      <c r="M55" t="s">
        <v>2587</v>
      </c>
      <c r="N55" t="s">
        <v>3675</v>
      </c>
    </row>
    <row r="56" spans="1:14" x14ac:dyDescent="0.3">
      <c r="A56" t="s">
        <v>1930</v>
      </c>
      <c r="B56" t="s">
        <v>1265</v>
      </c>
      <c r="C56" s="3">
        <v>26</v>
      </c>
      <c r="D56" t="s">
        <v>1931</v>
      </c>
      <c r="E56" t="s">
        <v>1932</v>
      </c>
      <c r="F56" t="s">
        <v>1364</v>
      </c>
      <c r="G56" t="s">
        <v>1365</v>
      </c>
      <c r="H56" t="s">
        <v>32</v>
      </c>
      <c r="I56" t="s">
        <v>1921</v>
      </c>
      <c r="J56" t="s">
        <v>1933</v>
      </c>
      <c r="K56" t="s">
        <v>1934</v>
      </c>
      <c r="L56" t="s">
        <v>25</v>
      </c>
      <c r="M56" t="s">
        <v>2527</v>
      </c>
      <c r="N56" t="s">
        <v>3675</v>
      </c>
    </row>
    <row r="57" spans="1:14" x14ac:dyDescent="0.3">
      <c r="A57" t="s">
        <v>2127</v>
      </c>
      <c r="B57" t="s">
        <v>2128</v>
      </c>
      <c r="C57" s="3">
        <v>26</v>
      </c>
      <c r="D57" t="s">
        <v>2129</v>
      </c>
      <c r="E57" t="s">
        <v>2130</v>
      </c>
      <c r="F57" t="s">
        <v>938</v>
      </c>
      <c r="G57" t="s">
        <v>939</v>
      </c>
      <c r="H57" t="s">
        <v>32</v>
      </c>
      <c r="I57" t="s">
        <v>1921</v>
      </c>
      <c r="J57" t="s">
        <v>2131</v>
      </c>
      <c r="L57" t="s">
        <v>25</v>
      </c>
      <c r="M57" t="s">
        <v>2546</v>
      </c>
      <c r="N57" t="s">
        <v>3674</v>
      </c>
    </row>
    <row r="58" spans="1:14" x14ac:dyDescent="0.3">
      <c r="A58" t="s">
        <v>2460</v>
      </c>
      <c r="B58" t="s">
        <v>2461</v>
      </c>
      <c r="C58" s="3">
        <v>26</v>
      </c>
      <c r="D58" t="s">
        <v>2462</v>
      </c>
      <c r="E58" t="s">
        <v>2463</v>
      </c>
      <c r="F58" t="s">
        <v>1573</v>
      </c>
      <c r="G58" t="s">
        <v>1574</v>
      </c>
      <c r="H58" t="s">
        <v>32</v>
      </c>
      <c r="I58" t="s">
        <v>1921</v>
      </c>
      <c r="L58" t="s">
        <v>25</v>
      </c>
      <c r="M58" t="s">
        <v>2606</v>
      </c>
      <c r="N58" t="s">
        <v>3675</v>
      </c>
    </row>
    <row r="59" spans="1:14" x14ac:dyDescent="0.3">
      <c r="A59" t="s">
        <v>1924</v>
      </c>
      <c r="B59" t="s">
        <v>1925</v>
      </c>
      <c r="C59" s="3">
        <v>25</v>
      </c>
      <c r="D59" t="s">
        <v>1926</v>
      </c>
      <c r="E59" t="s">
        <v>1927</v>
      </c>
      <c r="F59" t="s">
        <v>1255</v>
      </c>
      <c r="G59" t="s">
        <v>1256</v>
      </c>
      <c r="H59" t="s">
        <v>23</v>
      </c>
      <c r="I59" t="s">
        <v>1921</v>
      </c>
      <c r="J59" t="s">
        <v>1928</v>
      </c>
      <c r="K59" t="s">
        <v>1929</v>
      </c>
      <c r="L59" t="s">
        <v>25</v>
      </c>
      <c r="M59" t="s">
        <v>2511</v>
      </c>
      <c r="N59" t="s">
        <v>3675</v>
      </c>
    </row>
    <row r="60" spans="1:14" x14ac:dyDescent="0.3">
      <c r="A60" t="s">
        <v>2137</v>
      </c>
      <c r="B60" t="s">
        <v>1411</v>
      </c>
      <c r="C60" s="3">
        <v>25</v>
      </c>
      <c r="D60" t="s">
        <v>2138</v>
      </c>
      <c r="E60" t="s">
        <v>2139</v>
      </c>
      <c r="F60" t="s">
        <v>1519</v>
      </c>
      <c r="G60" t="s">
        <v>1520</v>
      </c>
      <c r="H60" t="s">
        <v>32</v>
      </c>
      <c r="I60" t="s">
        <v>1921</v>
      </c>
      <c r="J60" t="s">
        <v>2140</v>
      </c>
      <c r="L60" t="s">
        <v>25</v>
      </c>
      <c r="M60" t="s">
        <v>2548</v>
      </c>
      <c r="N60" t="s">
        <v>3675</v>
      </c>
    </row>
    <row r="61" spans="1:14" x14ac:dyDescent="0.3">
      <c r="A61" t="s">
        <v>2224</v>
      </c>
      <c r="B61" t="s">
        <v>2225</v>
      </c>
      <c r="C61" s="3">
        <v>25</v>
      </c>
      <c r="D61" t="s">
        <v>2226</v>
      </c>
      <c r="E61" t="s">
        <v>2227</v>
      </c>
      <c r="F61" t="s">
        <v>2228</v>
      </c>
      <c r="G61" t="s">
        <v>2229</v>
      </c>
      <c r="H61" t="s">
        <v>32</v>
      </c>
      <c r="I61" t="s">
        <v>1921</v>
      </c>
      <c r="L61" t="s">
        <v>25</v>
      </c>
      <c r="M61" t="s">
        <v>2565</v>
      </c>
      <c r="N61" t="s">
        <v>3675</v>
      </c>
    </row>
    <row r="62" spans="1:14" x14ac:dyDescent="0.3">
      <c r="A62" t="s">
        <v>2230</v>
      </c>
      <c r="B62" t="s">
        <v>2231</v>
      </c>
      <c r="C62" s="3">
        <v>25</v>
      </c>
      <c r="D62" t="s">
        <v>2232</v>
      </c>
      <c r="E62" t="s">
        <v>2233</v>
      </c>
      <c r="F62" t="s">
        <v>2009</v>
      </c>
      <c r="G62" t="s">
        <v>2010</v>
      </c>
      <c r="H62" t="s">
        <v>32</v>
      </c>
      <c r="I62" t="s">
        <v>1921</v>
      </c>
      <c r="J62" t="s">
        <v>2234</v>
      </c>
      <c r="K62" t="s">
        <v>2235</v>
      </c>
      <c r="L62" t="s">
        <v>25</v>
      </c>
      <c r="M62" t="s">
        <v>2566</v>
      </c>
      <c r="N62" t="s">
        <v>831</v>
      </c>
    </row>
    <row r="63" spans="1:14" x14ac:dyDescent="0.3">
      <c r="A63" t="s">
        <v>2280</v>
      </c>
      <c r="B63" t="s">
        <v>2281</v>
      </c>
      <c r="C63" s="3">
        <v>25</v>
      </c>
      <c r="D63" t="s">
        <v>2282</v>
      </c>
      <c r="E63" t="s">
        <v>2283</v>
      </c>
      <c r="F63" t="s">
        <v>2284</v>
      </c>
      <c r="G63" t="s">
        <v>2285</v>
      </c>
      <c r="H63" t="s">
        <v>32</v>
      </c>
      <c r="I63" t="s">
        <v>1921</v>
      </c>
      <c r="J63" t="s">
        <v>2286</v>
      </c>
      <c r="K63" t="s">
        <v>2287</v>
      </c>
      <c r="L63" t="s">
        <v>25</v>
      </c>
      <c r="M63" t="s">
        <v>2574</v>
      </c>
      <c r="N63" t="s">
        <v>3675</v>
      </c>
    </row>
    <row r="64" spans="1:14" x14ac:dyDescent="0.3">
      <c r="A64" t="s">
        <v>2400</v>
      </c>
      <c r="B64" t="s">
        <v>2401</v>
      </c>
      <c r="C64" s="3">
        <v>25</v>
      </c>
      <c r="D64" t="s">
        <v>2402</v>
      </c>
      <c r="E64" t="s">
        <v>2403</v>
      </c>
      <c r="F64" t="s">
        <v>492</v>
      </c>
      <c r="G64" t="s">
        <v>493</v>
      </c>
      <c r="H64" t="s">
        <v>32</v>
      </c>
      <c r="I64" t="s">
        <v>1921</v>
      </c>
      <c r="L64" t="s">
        <v>25</v>
      </c>
      <c r="M64" t="s">
        <v>2595</v>
      </c>
      <c r="N64" t="s">
        <v>3675</v>
      </c>
    </row>
    <row r="65" spans="1:14" x14ac:dyDescent="0.3">
      <c r="A65" t="s">
        <v>2476</v>
      </c>
      <c r="B65" t="s">
        <v>2477</v>
      </c>
      <c r="C65" s="3">
        <v>25</v>
      </c>
      <c r="D65" t="s">
        <v>2478</v>
      </c>
      <c r="E65" t="s">
        <v>2479</v>
      </c>
      <c r="F65" t="s">
        <v>2480</v>
      </c>
      <c r="G65" t="s">
        <v>2481</v>
      </c>
      <c r="H65" t="s">
        <v>32</v>
      </c>
      <c r="I65" t="s">
        <v>1921</v>
      </c>
      <c r="L65" t="s">
        <v>25</v>
      </c>
      <c r="M65" t="s">
        <v>2608</v>
      </c>
      <c r="N65" t="s">
        <v>3675</v>
      </c>
    </row>
    <row r="66" spans="1:14" x14ac:dyDescent="0.3">
      <c r="A66" t="s">
        <v>2487</v>
      </c>
      <c r="B66" t="s">
        <v>2488</v>
      </c>
      <c r="C66" s="3">
        <v>25</v>
      </c>
      <c r="D66" t="s">
        <v>2489</v>
      </c>
      <c r="E66" t="s">
        <v>2490</v>
      </c>
      <c r="F66" t="s">
        <v>2491</v>
      </c>
      <c r="G66" t="s">
        <v>2492</v>
      </c>
      <c r="H66" t="s">
        <v>32</v>
      </c>
      <c r="I66" t="s">
        <v>1921</v>
      </c>
      <c r="J66" t="s">
        <v>2493</v>
      </c>
      <c r="K66" t="s">
        <v>2494</v>
      </c>
      <c r="L66" t="s">
        <v>25</v>
      </c>
      <c r="M66" t="s">
        <v>2610</v>
      </c>
      <c r="N66" t="s">
        <v>831</v>
      </c>
    </row>
    <row r="67" spans="1:14" x14ac:dyDescent="0.3">
      <c r="A67" t="s">
        <v>2005</v>
      </c>
      <c r="B67" t="s">
        <v>2006</v>
      </c>
      <c r="C67" s="3">
        <v>24</v>
      </c>
      <c r="D67" t="s">
        <v>2007</v>
      </c>
      <c r="E67" t="s">
        <v>2008</v>
      </c>
      <c r="F67" t="s">
        <v>2009</v>
      </c>
      <c r="G67" t="s">
        <v>2010</v>
      </c>
      <c r="H67" t="s">
        <v>32</v>
      </c>
      <c r="I67" t="s">
        <v>1921</v>
      </c>
      <c r="J67" t="s">
        <v>2011</v>
      </c>
      <c r="K67" t="s">
        <v>2012</v>
      </c>
      <c r="L67" t="s">
        <v>25</v>
      </c>
      <c r="M67" t="s">
        <v>2522</v>
      </c>
      <c r="N67" t="s">
        <v>3675</v>
      </c>
    </row>
    <row r="68" spans="1:14" x14ac:dyDescent="0.3">
      <c r="A68" t="s">
        <v>1946</v>
      </c>
      <c r="B68" t="s">
        <v>1947</v>
      </c>
      <c r="C68" s="3">
        <v>23</v>
      </c>
      <c r="D68" t="s">
        <v>1948</v>
      </c>
      <c r="E68" t="s">
        <v>1949</v>
      </c>
      <c r="F68" t="s">
        <v>1950</v>
      </c>
      <c r="G68" t="s">
        <v>1951</v>
      </c>
      <c r="H68" t="s">
        <v>32</v>
      </c>
      <c r="I68" t="s">
        <v>1921</v>
      </c>
      <c r="J68" t="s">
        <v>1952</v>
      </c>
      <c r="K68" t="s">
        <v>1953</v>
      </c>
      <c r="L68" t="s">
        <v>25</v>
      </c>
      <c r="M68" t="s">
        <v>2513</v>
      </c>
      <c r="N68" t="s">
        <v>3675</v>
      </c>
    </row>
    <row r="69" spans="1:14" x14ac:dyDescent="0.3">
      <c r="A69" t="s">
        <v>1968</v>
      </c>
      <c r="B69" t="s">
        <v>1969</v>
      </c>
      <c r="C69" s="3">
        <v>23</v>
      </c>
      <c r="D69" t="s">
        <v>1970</v>
      </c>
      <c r="E69" t="s">
        <v>1971</v>
      </c>
      <c r="F69" t="s">
        <v>1506</v>
      </c>
      <c r="G69" t="s">
        <v>1507</v>
      </c>
      <c r="H69" t="s">
        <v>32</v>
      </c>
      <c r="I69" t="s">
        <v>1921</v>
      </c>
      <c r="J69" t="s">
        <v>1972</v>
      </c>
      <c r="L69" t="s">
        <v>25</v>
      </c>
      <c r="M69" t="s">
        <v>2530</v>
      </c>
      <c r="N69" t="s">
        <v>3675</v>
      </c>
    </row>
    <row r="70" spans="1:14" x14ac:dyDescent="0.3">
      <c r="A70" t="s">
        <v>2044</v>
      </c>
      <c r="B70" t="s">
        <v>2045</v>
      </c>
      <c r="C70" s="3">
        <v>23</v>
      </c>
      <c r="D70" t="s">
        <v>2046</v>
      </c>
      <c r="E70" t="s">
        <v>2047</v>
      </c>
      <c r="F70" t="s">
        <v>979</v>
      </c>
      <c r="G70" t="s">
        <v>980</v>
      </c>
      <c r="H70" t="s">
        <v>32</v>
      </c>
      <c r="I70" t="s">
        <v>1921</v>
      </c>
      <c r="L70" t="s">
        <v>25</v>
      </c>
      <c r="M70" t="s">
        <v>2533</v>
      </c>
      <c r="N70" t="s">
        <v>3675</v>
      </c>
    </row>
    <row r="71" spans="1:14" x14ac:dyDescent="0.3">
      <c r="A71" t="s">
        <v>2376</v>
      </c>
      <c r="B71" t="s">
        <v>690</v>
      </c>
      <c r="C71" s="3">
        <v>23</v>
      </c>
      <c r="D71" t="s">
        <v>2377</v>
      </c>
      <c r="E71" t="s">
        <v>2378</v>
      </c>
      <c r="F71" t="s">
        <v>47</v>
      </c>
      <c r="G71" t="s">
        <v>48</v>
      </c>
      <c r="H71" t="s">
        <v>23</v>
      </c>
      <c r="I71" t="s">
        <v>1921</v>
      </c>
      <c r="J71" t="s">
        <v>2379</v>
      </c>
      <c r="L71" t="s">
        <v>25</v>
      </c>
      <c r="M71" t="s">
        <v>2591</v>
      </c>
      <c r="N71" t="s">
        <v>3675</v>
      </c>
    </row>
    <row r="72" spans="1:14" x14ac:dyDescent="0.3">
      <c r="A72" t="s">
        <v>2500</v>
      </c>
      <c r="B72" t="s">
        <v>2501</v>
      </c>
      <c r="C72" s="3">
        <v>23</v>
      </c>
      <c r="D72" t="s">
        <v>2502</v>
      </c>
      <c r="E72" t="s">
        <v>2503</v>
      </c>
      <c r="F72" t="s">
        <v>2009</v>
      </c>
      <c r="G72" t="s">
        <v>2010</v>
      </c>
      <c r="H72" t="s">
        <v>23</v>
      </c>
      <c r="I72" t="s">
        <v>1921</v>
      </c>
      <c r="L72" t="s">
        <v>25</v>
      </c>
      <c r="M72" t="s">
        <v>2612</v>
      </c>
      <c r="N72" t="s">
        <v>3673</v>
      </c>
    </row>
    <row r="73" spans="1:14" x14ac:dyDescent="0.3">
      <c r="A73" t="s">
        <v>2074</v>
      </c>
      <c r="B73" t="s">
        <v>2075</v>
      </c>
      <c r="C73" s="3">
        <v>22</v>
      </c>
      <c r="D73" t="s">
        <v>2076</v>
      </c>
      <c r="E73" t="s">
        <v>2077</v>
      </c>
      <c r="F73" t="s">
        <v>2078</v>
      </c>
      <c r="G73" t="s">
        <v>2079</v>
      </c>
      <c r="H73" t="s">
        <v>32</v>
      </c>
      <c r="I73" t="s">
        <v>1921</v>
      </c>
      <c r="J73" t="s">
        <v>2080</v>
      </c>
      <c r="L73" t="s">
        <v>25</v>
      </c>
      <c r="M73" t="s">
        <v>2537</v>
      </c>
      <c r="N73" t="s">
        <v>3674</v>
      </c>
    </row>
    <row r="74" spans="1:14" x14ac:dyDescent="0.3">
      <c r="A74" t="s">
        <v>2094</v>
      </c>
      <c r="B74" t="s">
        <v>2095</v>
      </c>
      <c r="C74" s="3">
        <v>22</v>
      </c>
      <c r="D74" t="s">
        <v>2096</v>
      </c>
      <c r="E74" t="s">
        <v>2097</v>
      </c>
      <c r="F74" t="s">
        <v>1025</v>
      </c>
      <c r="G74" t="s">
        <v>1026</v>
      </c>
      <c r="H74" t="s">
        <v>32</v>
      </c>
      <c r="I74" t="s">
        <v>1921</v>
      </c>
      <c r="J74" t="s">
        <v>2098</v>
      </c>
      <c r="L74" t="s">
        <v>25</v>
      </c>
      <c r="M74" t="s">
        <v>2540</v>
      </c>
      <c r="N74" t="s">
        <v>3675</v>
      </c>
    </row>
    <row r="75" spans="1:14" x14ac:dyDescent="0.3">
      <c r="A75" t="s">
        <v>2114</v>
      </c>
      <c r="B75" t="s">
        <v>2115</v>
      </c>
      <c r="C75" s="3">
        <v>22</v>
      </c>
      <c r="D75" t="s">
        <v>2116</v>
      </c>
      <c r="E75" t="s">
        <v>2117</v>
      </c>
      <c r="F75" t="s">
        <v>1336</v>
      </c>
      <c r="G75" t="s">
        <v>1337</v>
      </c>
      <c r="H75" t="s">
        <v>32</v>
      </c>
      <c r="I75" t="s">
        <v>1921</v>
      </c>
      <c r="J75" t="s">
        <v>2118</v>
      </c>
      <c r="K75" t="s">
        <v>2119</v>
      </c>
      <c r="L75" t="s">
        <v>25</v>
      </c>
      <c r="M75" t="s">
        <v>2544</v>
      </c>
      <c r="N75" t="s">
        <v>3675</v>
      </c>
    </row>
    <row r="76" spans="1:14" x14ac:dyDescent="0.3">
      <c r="A76" t="s">
        <v>2211</v>
      </c>
      <c r="B76" t="s">
        <v>2212</v>
      </c>
      <c r="C76" s="3">
        <v>22</v>
      </c>
      <c r="D76" t="s">
        <v>2213</v>
      </c>
      <c r="E76" t="s">
        <v>2214</v>
      </c>
      <c r="F76" t="s">
        <v>2215</v>
      </c>
      <c r="G76" t="s">
        <v>2216</v>
      </c>
      <c r="H76" t="s">
        <v>23</v>
      </c>
      <c r="I76" t="s">
        <v>1921</v>
      </c>
      <c r="J76" t="s">
        <v>2217</v>
      </c>
      <c r="L76" t="s">
        <v>25</v>
      </c>
      <c r="M76" t="s">
        <v>2563</v>
      </c>
      <c r="N76" t="s">
        <v>3675</v>
      </c>
    </row>
    <row r="77" spans="1:14" x14ac:dyDescent="0.3">
      <c r="A77" t="s">
        <v>2300</v>
      </c>
      <c r="B77" t="s">
        <v>2301</v>
      </c>
      <c r="C77" s="3">
        <v>22</v>
      </c>
      <c r="D77" t="s">
        <v>2302</v>
      </c>
      <c r="E77" t="s">
        <v>2303</v>
      </c>
      <c r="F77" t="s">
        <v>655</v>
      </c>
      <c r="G77" t="s">
        <v>656</v>
      </c>
      <c r="H77" t="s">
        <v>32</v>
      </c>
      <c r="I77" t="s">
        <v>1921</v>
      </c>
      <c r="J77" t="s">
        <v>2304</v>
      </c>
      <c r="L77" t="s">
        <v>25</v>
      </c>
      <c r="M77" t="s">
        <v>2577</v>
      </c>
      <c r="N77" t="s">
        <v>3673</v>
      </c>
    </row>
    <row r="78" spans="1:14" x14ac:dyDescent="0.3">
      <c r="A78" t="s">
        <v>2464</v>
      </c>
      <c r="B78" t="s">
        <v>2465</v>
      </c>
      <c r="C78" s="3">
        <v>22</v>
      </c>
      <c r="D78" t="s">
        <v>2466</v>
      </c>
      <c r="E78" t="s">
        <v>2467</v>
      </c>
      <c r="F78" t="s">
        <v>2468</v>
      </c>
      <c r="G78" t="s">
        <v>2469</v>
      </c>
      <c r="H78" t="s">
        <v>32</v>
      </c>
      <c r="I78" t="s">
        <v>1921</v>
      </c>
      <c r="J78" t="s">
        <v>2470</v>
      </c>
      <c r="L78" t="s">
        <v>25</v>
      </c>
      <c r="M78" t="s">
        <v>2607</v>
      </c>
      <c r="N78" t="s">
        <v>3675</v>
      </c>
    </row>
    <row r="79" spans="1:14" x14ac:dyDescent="0.3">
      <c r="A79" t="s">
        <v>2120</v>
      </c>
      <c r="B79" t="s">
        <v>2121</v>
      </c>
      <c r="C79" s="3">
        <v>21</v>
      </c>
      <c r="D79" t="s">
        <v>2122</v>
      </c>
      <c r="E79" t="s">
        <v>2123</v>
      </c>
      <c r="F79" t="s">
        <v>2124</v>
      </c>
      <c r="G79" t="s">
        <v>2125</v>
      </c>
      <c r="H79" t="s">
        <v>23</v>
      </c>
      <c r="I79" t="s">
        <v>1921</v>
      </c>
      <c r="J79" t="s">
        <v>2126</v>
      </c>
      <c r="L79" t="s">
        <v>25</v>
      </c>
      <c r="M79" t="s">
        <v>2545</v>
      </c>
      <c r="N79" t="s">
        <v>3675</v>
      </c>
    </row>
    <row r="80" spans="1:14" x14ac:dyDescent="0.3">
      <c r="A80" t="s">
        <v>2013</v>
      </c>
      <c r="B80" t="s">
        <v>2014</v>
      </c>
      <c r="C80" s="3">
        <v>20</v>
      </c>
      <c r="D80" t="s">
        <v>2015</v>
      </c>
      <c r="E80" t="s">
        <v>2016</v>
      </c>
      <c r="F80" t="s">
        <v>1033</v>
      </c>
      <c r="G80" t="s">
        <v>1034</v>
      </c>
      <c r="H80" t="s">
        <v>23</v>
      </c>
      <c r="I80" t="s">
        <v>1921</v>
      </c>
      <c r="K80" t="s">
        <v>2017</v>
      </c>
      <c r="L80" t="s">
        <v>25</v>
      </c>
      <c r="M80" t="s">
        <v>2523</v>
      </c>
      <c r="N80" t="s">
        <v>3675</v>
      </c>
    </row>
    <row r="81" spans="1:14" x14ac:dyDescent="0.3">
      <c r="A81" t="s">
        <v>2242</v>
      </c>
      <c r="B81" t="s">
        <v>2243</v>
      </c>
      <c r="C81" s="3">
        <v>20</v>
      </c>
      <c r="D81" t="s">
        <v>2244</v>
      </c>
      <c r="E81" t="s">
        <v>2245</v>
      </c>
      <c r="F81" t="s">
        <v>1002</v>
      </c>
      <c r="G81" t="s">
        <v>1003</v>
      </c>
      <c r="H81" t="s">
        <v>32</v>
      </c>
      <c r="I81" t="s">
        <v>1921</v>
      </c>
      <c r="J81" t="s">
        <v>2246</v>
      </c>
      <c r="K81" t="s">
        <v>2247</v>
      </c>
      <c r="L81" t="s">
        <v>25</v>
      </c>
      <c r="M81" t="s">
        <v>2568</v>
      </c>
      <c r="N81" t="s">
        <v>3675</v>
      </c>
    </row>
    <row r="82" spans="1:14" x14ac:dyDescent="0.3">
      <c r="A82" t="s">
        <v>2259</v>
      </c>
      <c r="B82" t="s">
        <v>2260</v>
      </c>
      <c r="C82" s="3">
        <v>19</v>
      </c>
      <c r="D82" t="s">
        <v>2261</v>
      </c>
      <c r="E82" t="s">
        <v>2262</v>
      </c>
      <c r="F82" t="s">
        <v>326</v>
      </c>
      <c r="G82" t="s">
        <v>327</v>
      </c>
      <c r="H82" t="s">
        <v>32</v>
      </c>
      <c r="I82" t="s">
        <v>1921</v>
      </c>
      <c r="J82" t="s">
        <v>2263</v>
      </c>
      <c r="K82" t="s">
        <v>2264</v>
      </c>
      <c r="L82" t="s">
        <v>25</v>
      </c>
      <c r="M82" t="s">
        <v>2571</v>
      </c>
      <c r="N82" t="s">
        <v>3674</v>
      </c>
    </row>
    <row r="83" spans="1:14" x14ac:dyDescent="0.3">
      <c r="A83" t="s">
        <v>2190</v>
      </c>
      <c r="B83" t="s">
        <v>1570</v>
      </c>
      <c r="C83" s="3">
        <v>18</v>
      </c>
      <c r="D83" t="s">
        <v>2191</v>
      </c>
      <c r="E83" t="s">
        <v>2192</v>
      </c>
      <c r="F83" t="s">
        <v>1364</v>
      </c>
      <c r="G83" t="s">
        <v>1365</v>
      </c>
      <c r="H83" t="s">
        <v>23</v>
      </c>
      <c r="I83" t="s">
        <v>1921</v>
      </c>
      <c r="J83" t="s">
        <v>2193</v>
      </c>
      <c r="K83" t="s">
        <v>2194</v>
      </c>
      <c r="L83" t="s">
        <v>25</v>
      </c>
      <c r="M83" t="s">
        <v>2559</v>
      </c>
      <c r="N83" t="s">
        <v>3675</v>
      </c>
    </row>
    <row r="84" spans="1:14" x14ac:dyDescent="0.3">
      <c r="A84" t="s">
        <v>2254</v>
      </c>
      <c r="B84" t="s">
        <v>2255</v>
      </c>
      <c r="C84" s="3">
        <v>18</v>
      </c>
      <c r="D84" t="s">
        <v>2256</v>
      </c>
      <c r="E84" t="s">
        <v>2257</v>
      </c>
      <c r="F84" t="s">
        <v>687</v>
      </c>
      <c r="G84" t="s">
        <v>688</v>
      </c>
      <c r="H84" t="s">
        <v>23</v>
      </c>
      <c r="I84" t="s">
        <v>1921</v>
      </c>
      <c r="J84" t="s">
        <v>2258</v>
      </c>
      <c r="L84" t="s">
        <v>25</v>
      </c>
      <c r="M84" t="s">
        <v>2570</v>
      </c>
      <c r="N84" t="s">
        <v>3675</v>
      </c>
    </row>
    <row r="85" spans="1:14" x14ac:dyDescent="0.3">
      <c r="A85" t="s">
        <v>2288</v>
      </c>
      <c r="B85" t="s">
        <v>2289</v>
      </c>
      <c r="C85" s="3">
        <v>18</v>
      </c>
      <c r="D85" t="s">
        <v>2290</v>
      </c>
      <c r="E85" t="s">
        <v>2291</v>
      </c>
      <c r="F85" t="s">
        <v>2292</v>
      </c>
      <c r="G85" t="s">
        <v>2293</v>
      </c>
      <c r="H85" t="s">
        <v>23</v>
      </c>
      <c r="I85" t="s">
        <v>1921</v>
      </c>
      <c r="L85" t="s">
        <v>25</v>
      </c>
      <c r="M85" t="s">
        <v>2575</v>
      </c>
      <c r="N85" t="s">
        <v>3675</v>
      </c>
    </row>
    <row r="86" spans="1:14" x14ac:dyDescent="0.3">
      <c r="A86" t="s">
        <v>2504</v>
      </c>
      <c r="B86" t="s">
        <v>238</v>
      </c>
      <c r="C86" s="3">
        <v>18</v>
      </c>
      <c r="D86" t="s">
        <v>2505</v>
      </c>
      <c r="E86" t="s">
        <v>2506</v>
      </c>
      <c r="F86" t="s">
        <v>2507</v>
      </c>
      <c r="G86" t="s">
        <v>2508</v>
      </c>
      <c r="H86" t="s">
        <v>32</v>
      </c>
      <c r="I86" t="s">
        <v>1921</v>
      </c>
      <c r="J86" t="s">
        <v>2509</v>
      </c>
      <c r="L86" t="s">
        <v>25</v>
      </c>
      <c r="M86" t="s">
        <v>2613</v>
      </c>
      <c r="N86" t="s">
        <v>831</v>
      </c>
    </row>
    <row r="87" spans="1:14" x14ac:dyDescent="0.3">
      <c r="A87" t="s">
        <v>2141</v>
      </c>
      <c r="B87" t="s">
        <v>2142</v>
      </c>
      <c r="C87" s="3">
        <v>17</v>
      </c>
      <c r="D87" t="s">
        <v>2143</v>
      </c>
      <c r="E87" t="s">
        <v>2144</v>
      </c>
      <c r="F87" t="s">
        <v>930</v>
      </c>
      <c r="G87" t="s">
        <v>931</v>
      </c>
      <c r="H87" t="s">
        <v>23</v>
      </c>
      <c r="I87" t="s">
        <v>1921</v>
      </c>
      <c r="K87" t="s">
        <v>2145</v>
      </c>
      <c r="L87" t="s">
        <v>25</v>
      </c>
      <c r="M87" t="s">
        <v>2549</v>
      </c>
      <c r="N87" t="s">
        <v>3675</v>
      </c>
    </row>
    <row r="88" spans="1:14" x14ac:dyDescent="0.3">
      <c r="A88" t="s">
        <v>2154</v>
      </c>
      <c r="B88" t="s">
        <v>2155</v>
      </c>
      <c r="C88" s="3">
        <v>17</v>
      </c>
      <c r="D88" t="s">
        <v>2156</v>
      </c>
      <c r="E88" t="s">
        <v>2157</v>
      </c>
      <c r="F88" t="s">
        <v>1573</v>
      </c>
      <c r="G88" t="s">
        <v>1574</v>
      </c>
      <c r="H88" t="s">
        <v>32</v>
      </c>
      <c r="I88" t="s">
        <v>1921</v>
      </c>
      <c r="L88" t="s">
        <v>25</v>
      </c>
      <c r="M88" t="s">
        <v>2552</v>
      </c>
      <c r="N88" t="s">
        <v>3673</v>
      </c>
    </row>
    <row r="89" spans="1:14" x14ac:dyDescent="0.3">
      <c r="A89" t="s">
        <v>2174</v>
      </c>
      <c r="B89" t="s">
        <v>2175</v>
      </c>
      <c r="C89" s="3">
        <v>17</v>
      </c>
      <c r="D89" t="s">
        <v>2176</v>
      </c>
      <c r="E89" t="s">
        <v>2177</v>
      </c>
      <c r="F89" t="s">
        <v>2178</v>
      </c>
      <c r="G89" t="s">
        <v>2179</v>
      </c>
      <c r="H89" t="s">
        <v>23</v>
      </c>
      <c r="I89" t="s">
        <v>1921</v>
      </c>
      <c r="J89" t="s">
        <v>2180</v>
      </c>
      <c r="L89" t="s">
        <v>25</v>
      </c>
      <c r="M89" t="s">
        <v>2556</v>
      </c>
      <c r="N89" t="s">
        <v>3675</v>
      </c>
    </row>
    <row r="90" spans="1:14" x14ac:dyDescent="0.3">
      <c r="A90" t="s">
        <v>2427</v>
      </c>
      <c r="B90" t="s">
        <v>2428</v>
      </c>
      <c r="C90" s="3">
        <v>16</v>
      </c>
      <c r="D90" t="s">
        <v>2429</v>
      </c>
      <c r="E90" t="s">
        <v>2430</v>
      </c>
      <c r="F90" t="s">
        <v>2431</v>
      </c>
      <c r="G90" t="s">
        <v>2432</v>
      </c>
      <c r="H90" t="s">
        <v>23</v>
      </c>
      <c r="I90" t="s">
        <v>1921</v>
      </c>
      <c r="J90" t="s">
        <v>2433</v>
      </c>
      <c r="K90" t="s">
        <v>2434</v>
      </c>
      <c r="L90" t="s">
        <v>25</v>
      </c>
      <c r="M90" t="s">
        <v>2600</v>
      </c>
      <c r="N90" t="s">
        <v>3675</v>
      </c>
    </row>
    <row r="91" spans="1:14" x14ac:dyDescent="0.3">
      <c r="A91" t="s">
        <v>2440</v>
      </c>
      <c r="B91" t="s">
        <v>2441</v>
      </c>
      <c r="C91" s="3">
        <v>16</v>
      </c>
      <c r="D91" t="s">
        <v>2442</v>
      </c>
      <c r="E91" t="s">
        <v>2443</v>
      </c>
      <c r="F91" t="s">
        <v>2444</v>
      </c>
      <c r="G91" t="s">
        <v>2445</v>
      </c>
      <c r="H91" t="s">
        <v>32</v>
      </c>
      <c r="I91" t="s">
        <v>1921</v>
      </c>
      <c r="L91" t="s">
        <v>25</v>
      </c>
      <c r="M91" t="s">
        <v>2602</v>
      </c>
      <c r="N91" t="s">
        <v>3675</v>
      </c>
    </row>
    <row r="92" spans="1:14" x14ac:dyDescent="0.3">
      <c r="A92" t="s">
        <v>2171</v>
      </c>
      <c r="B92" t="s">
        <v>2172</v>
      </c>
      <c r="C92" s="3">
        <v>15</v>
      </c>
      <c r="D92" t="s">
        <v>2173</v>
      </c>
      <c r="E92" t="s">
        <v>491</v>
      </c>
      <c r="F92" t="s">
        <v>492</v>
      </c>
      <c r="G92" t="s">
        <v>493</v>
      </c>
      <c r="H92" t="s">
        <v>32</v>
      </c>
      <c r="I92" t="s">
        <v>1921</v>
      </c>
      <c r="J92" t="s">
        <v>494</v>
      </c>
      <c r="K92" t="s">
        <v>495</v>
      </c>
      <c r="L92" t="s">
        <v>25</v>
      </c>
      <c r="M92" t="s">
        <v>2555</v>
      </c>
      <c r="N92" t="s">
        <v>3675</v>
      </c>
    </row>
    <row r="93" spans="1:14" x14ac:dyDescent="0.3">
      <c r="A93" t="s">
        <v>1917</v>
      </c>
      <c r="B93" t="s">
        <v>1918</v>
      </c>
      <c r="C93" s="3">
        <v>14</v>
      </c>
      <c r="D93" t="s">
        <v>1919</v>
      </c>
      <c r="E93" t="s">
        <v>1920</v>
      </c>
      <c r="F93" t="s">
        <v>565</v>
      </c>
      <c r="G93" t="s">
        <v>566</v>
      </c>
      <c r="H93" t="s">
        <v>32</v>
      </c>
      <c r="I93" t="s">
        <v>1921</v>
      </c>
      <c r="J93" t="s">
        <v>1922</v>
      </c>
      <c r="K93" t="s">
        <v>1923</v>
      </c>
      <c r="L93" t="s">
        <v>25</v>
      </c>
      <c r="M93" t="s">
        <v>2510</v>
      </c>
      <c r="N93" t="s">
        <v>831</v>
      </c>
    </row>
    <row r="94" spans="1:14" x14ac:dyDescent="0.3">
      <c r="A94" t="s">
        <v>1935</v>
      </c>
      <c r="B94" t="s">
        <v>1936</v>
      </c>
      <c r="C94" s="3">
        <v>14</v>
      </c>
      <c r="D94" t="s">
        <v>1937</v>
      </c>
      <c r="E94" t="s">
        <v>1938</v>
      </c>
      <c r="F94" t="s">
        <v>1939</v>
      </c>
      <c r="G94" t="s">
        <v>1940</v>
      </c>
      <c r="H94" t="s">
        <v>23</v>
      </c>
      <c r="I94" t="s">
        <v>1921</v>
      </c>
      <c r="L94" t="s">
        <v>25</v>
      </c>
      <c r="M94" t="s">
        <v>2528</v>
      </c>
      <c r="N94" t="s">
        <v>3675</v>
      </c>
    </row>
    <row r="95" spans="1:14" x14ac:dyDescent="0.3">
      <c r="A95" t="s">
        <v>2305</v>
      </c>
      <c r="B95" t="s">
        <v>2306</v>
      </c>
      <c r="C95" s="3">
        <v>14</v>
      </c>
      <c r="D95" t="s">
        <v>2307</v>
      </c>
      <c r="E95" t="s">
        <v>2308</v>
      </c>
      <c r="F95" t="s">
        <v>464</v>
      </c>
      <c r="G95" t="s">
        <v>465</v>
      </c>
      <c r="H95" t="s">
        <v>32</v>
      </c>
      <c r="I95" t="s">
        <v>1921</v>
      </c>
      <c r="J95" t="s">
        <v>2309</v>
      </c>
      <c r="K95" t="s">
        <v>2310</v>
      </c>
      <c r="L95" t="s">
        <v>25</v>
      </c>
      <c r="M95" t="s">
        <v>2578</v>
      </c>
      <c r="N95" t="s">
        <v>3675</v>
      </c>
    </row>
    <row r="96" spans="1:14" x14ac:dyDescent="0.3">
      <c r="A96" t="s">
        <v>2328</v>
      </c>
      <c r="B96" t="s">
        <v>2329</v>
      </c>
      <c r="C96" s="3">
        <v>14</v>
      </c>
      <c r="D96" t="s">
        <v>2330</v>
      </c>
      <c r="E96" t="s">
        <v>2331</v>
      </c>
      <c r="F96" t="s">
        <v>2332</v>
      </c>
      <c r="G96" t="s">
        <v>2333</v>
      </c>
      <c r="H96" t="s">
        <v>32</v>
      </c>
      <c r="I96" t="s">
        <v>1921</v>
      </c>
      <c r="L96" t="s">
        <v>25</v>
      </c>
      <c r="M96" t="s">
        <v>2582</v>
      </c>
      <c r="N96" t="s">
        <v>3674</v>
      </c>
    </row>
    <row r="97" spans="1:15" x14ac:dyDescent="0.3">
      <c r="A97" t="s">
        <v>2435</v>
      </c>
      <c r="B97" t="s">
        <v>2436</v>
      </c>
      <c r="C97" s="3">
        <v>14</v>
      </c>
      <c r="D97" t="s">
        <v>2437</v>
      </c>
      <c r="E97" t="s">
        <v>2438</v>
      </c>
      <c r="F97" t="s">
        <v>1261</v>
      </c>
      <c r="G97" t="s">
        <v>1262</v>
      </c>
      <c r="H97" t="s">
        <v>32</v>
      </c>
      <c r="I97" t="s">
        <v>1921</v>
      </c>
      <c r="J97" t="s">
        <v>2439</v>
      </c>
      <c r="L97" t="s">
        <v>25</v>
      </c>
      <c r="M97" t="s">
        <v>2601</v>
      </c>
      <c r="N97" t="s">
        <v>3675</v>
      </c>
    </row>
    <row r="98" spans="1:15" x14ac:dyDescent="0.3">
      <c r="A98" t="s">
        <v>1941</v>
      </c>
      <c r="B98" t="s">
        <v>1942</v>
      </c>
      <c r="C98" s="3">
        <v>13</v>
      </c>
      <c r="D98" t="s">
        <v>1943</v>
      </c>
      <c r="E98" t="s">
        <v>1944</v>
      </c>
      <c r="F98" t="s">
        <v>1519</v>
      </c>
      <c r="G98" t="s">
        <v>1520</v>
      </c>
      <c r="H98" t="s">
        <v>32</v>
      </c>
      <c r="I98" t="s">
        <v>1921</v>
      </c>
      <c r="K98" t="s">
        <v>1945</v>
      </c>
      <c r="L98" t="s">
        <v>25</v>
      </c>
      <c r="M98" t="s">
        <v>2512</v>
      </c>
      <c r="N98" t="s">
        <v>3675</v>
      </c>
    </row>
    <row r="99" spans="1:15" x14ac:dyDescent="0.3">
      <c r="A99" t="s">
        <v>2024</v>
      </c>
      <c r="B99" t="s">
        <v>2025</v>
      </c>
      <c r="C99" s="3">
        <v>13</v>
      </c>
      <c r="D99" t="s">
        <v>2026</v>
      </c>
      <c r="E99" t="s">
        <v>2027</v>
      </c>
      <c r="F99" t="s">
        <v>21</v>
      </c>
      <c r="G99" t="s">
        <v>22</v>
      </c>
      <c r="H99" t="s">
        <v>32</v>
      </c>
      <c r="I99" t="s">
        <v>1921</v>
      </c>
      <c r="J99" t="s">
        <v>2028</v>
      </c>
      <c r="L99" t="s">
        <v>25</v>
      </c>
      <c r="M99" t="s">
        <v>2525</v>
      </c>
      <c r="N99" t="s">
        <v>3673</v>
      </c>
    </row>
    <row r="100" spans="1:15" x14ac:dyDescent="0.3">
      <c r="A100" t="s">
        <v>2146</v>
      </c>
      <c r="B100" t="s">
        <v>238</v>
      </c>
      <c r="C100" s="3">
        <v>13</v>
      </c>
      <c r="D100" t="s">
        <v>2147</v>
      </c>
      <c r="E100" t="s">
        <v>2148</v>
      </c>
      <c r="F100" t="s">
        <v>401</v>
      </c>
      <c r="G100" t="s">
        <v>402</v>
      </c>
      <c r="H100" t="s">
        <v>23</v>
      </c>
      <c r="I100" t="s">
        <v>1921</v>
      </c>
      <c r="L100" t="s">
        <v>25</v>
      </c>
      <c r="M100" t="s">
        <v>2550</v>
      </c>
      <c r="N100" t="s">
        <v>3675</v>
      </c>
    </row>
    <row r="101" spans="1:15" x14ac:dyDescent="0.3">
      <c r="A101" t="s">
        <v>2392</v>
      </c>
      <c r="B101" t="s">
        <v>2393</v>
      </c>
      <c r="C101" s="3">
        <v>12</v>
      </c>
      <c r="D101" t="s">
        <v>2394</v>
      </c>
      <c r="E101" t="s">
        <v>2395</v>
      </c>
      <c r="F101" t="s">
        <v>2396</v>
      </c>
      <c r="G101" t="s">
        <v>2397</v>
      </c>
      <c r="H101" t="s">
        <v>23</v>
      </c>
      <c r="I101" t="s">
        <v>1921</v>
      </c>
      <c r="J101" t="s">
        <v>2398</v>
      </c>
      <c r="K101" t="s">
        <v>2399</v>
      </c>
      <c r="L101" t="s">
        <v>25</v>
      </c>
      <c r="M101" t="s">
        <v>2594</v>
      </c>
      <c r="N101" t="s">
        <v>3674</v>
      </c>
    </row>
    <row r="102" spans="1:15" x14ac:dyDescent="0.3">
      <c r="A102" t="s">
        <v>2446</v>
      </c>
      <c r="B102" t="s">
        <v>2447</v>
      </c>
      <c r="C102" s="3">
        <v>12</v>
      </c>
      <c r="D102" t="s">
        <v>2448</v>
      </c>
      <c r="E102" t="s">
        <v>2449</v>
      </c>
      <c r="F102" t="s">
        <v>1598</v>
      </c>
      <c r="G102" t="s">
        <v>1599</v>
      </c>
      <c r="H102" t="s">
        <v>23</v>
      </c>
      <c r="I102" t="s">
        <v>1921</v>
      </c>
      <c r="J102" t="s">
        <v>2450</v>
      </c>
      <c r="L102" t="s">
        <v>25</v>
      </c>
      <c r="M102" t="s">
        <v>2603</v>
      </c>
      <c r="N102" t="s">
        <v>3675</v>
      </c>
    </row>
    <row r="103" spans="1:15" x14ac:dyDescent="0.3">
      <c r="A103" t="s">
        <v>2456</v>
      </c>
      <c r="B103" t="s">
        <v>2457</v>
      </c>
      <c r="C103" s="3">
        <v>12</v>
      </c>
      <c r="D103" t="s">
        <v>2458</v>
      </c>
      <c r="E103" t="s">
        <v>2459</v>
      </c>
      <c r="F103" t="s">
        <v>1279</v>
      </c>
      <c r="G103" t="s">
        <v>1280</v>
      </c>
      <c r="H103" t="s">
        <v>32</v>
      </c>
      <c r="I103" t="s">
        <v>1921</v>
      </c>
      <c r="L103" t="s">
        <v>25</v>
      </c>
      <c r="M103" t="s">
        <v>2605</v>
      </c>
      <c r="N103" t="s">
        <v>3675</v>
      </c>
    </row>
    <row r="104" spans="1:15" x14ac:dyDescent="0.3">
      <c r="A104" t="s">
        <v>2344</v>
      </c>
      <c r="B104" t="s">
        <v>2345</v>
      </c>
      <c r="C104" s="3">
        <v>11</v>
      </c>
      <c r="D104" t="s">
        <v>2346</v>
      </c>
      <c r="E104" t="s">
        <v>2347</v>
      </c>
      <c r="F104" t="s">
        <v>2348</v>
      </c>
      <c r="G104" t="s">
        <v>2349</v>
      </c>
      <c r="H104" t="s">
        <v>32</v>
      </c>
      <c r="I104" t="s">
        <v>1921</v>
      </c>
      <c r="L104" t="s">
        <v>25</v>
      </c>
      <c r="M104" t="s">
        <v>2585</v>
      </c>
      <c r="N104" t="s">
        <v>3675</v>
      </c>
    </row>
    <row r="105" spans="1:15" x14ac:dyDescent="0.3">
      <c r="A105" t="s">
        <v>2361</v>
      </c>
      <c r="B105" t="s">
        <v>2362</v>
      </c>
      <c r="C105" s="3">
        <v>11</v>
      </c>
      <c r="D105" t="s">
        <v>2363</v>
      </c>
      <c r="E105" t="s">
        <v>2364</v>
      </c>
      <c r="F105" t="s">
        <v>2365</v>
      </c>
      <c r="G105" t="s">
        <v>2366</v>
      </c>
      <c r="H105" t="s">
        <v>23</v>
      </c>
      <c r="I105" t="s">
        <v>1921</v>
      </c>
      <c r="L105" t="s">
        <v>25</v>
      </c>
      <c r="M105" t="s">
        <v>2588</v>
      </c>
      <c r="N105" t="s">
        <v>3675</v>
      </c>
    </row>
    <row r="106" spans="1:15" x14ac:dyDescent="0.3">
      <c r="A106" t="s">
        <v>2059</v>
      </c>
      <c r="B106" t="s">
        <v>2060</v>
      </c>
      <c r="C106" s="3">
        <v>10</v>
      </c>
      <c r="D106" t="s">
        <v>2061</v>
      </c>
      <c r="E106" t="s">
        <v>2062</v>
      </c>
      <c r="F106" t="s">
        <v>2063</v>
      </c>
      <c r="G106" t="s">
        <v>2064</v>
      </c>
      <c r="H106" t="s">
        <v>23</v>
      </c>
      <c r="I106" t="s">
        <v>1921</v>
      </c>
      <c r="J106" t="s">
        <v>2065</v>
      </c>
      <c r="L106" t="s">
        <v>25</v>
      </c>
      <c r="M106" t="s">
        <v>2535</v>
      </c>
      <c r="N106" t="s">
        <v>3675</v>
      </c>
    </row>
    <row r="107" spans="1:15" x14ac:dyDescent="0.3">
      <c r="A107" t="s">
        <v>2036</v>
      </c>
      <c r="B107" t="s">
        <v>2037</v>
      </c>
      <c r="C107" s="3">
        <v>9</v>
      </c>
      <c r="D107" t="s">
        <v>2038</v>
      </c>
      <c r="E107" t="s">
        <v>2039</v>
      </c>
      <c r="F107" t="s">
        <v>2040</v>
      </c>
      <c r="G107" t="s">
        <v>2041</v>
      </c>
      <c r="H107" t="s">
        <v>32</v>
      </c>
      <c r="I107" t="s">
        <v>1921</v>
      </c>
      <c r="J107" t="s">
        <v>2042</v>
      </c>
      <c r="K107" t="s">
        <v>2043</v>
      </c>
      <c r="L107" t="s">
        <v>25</v>
      </c>
      <c r="M107" t="s">
        <v>2532</v>
      </c>
      <c r="N107" t="s">
        <v>3674</v>
      </c>
    </row>
    <row r="108" spans="1:15" x14ac:dyDescent="0.3">
      <c r="A108" t="s">
        <v>1973</v>
      </c>
      <c r="B108" t="s">
        <v>1974</v>
      </c>
      <c r="C108" s="3">
        <v>6</v>
      </c>
      <c r="D108" t="s">
        <v>1975</v>
      </c>
      <c r="E108" t="s">
        <v>1976</v>
      </c>
      <c r="F108" t="s">
        <v>1391</v>
      </c>
      <c r="G108" t="s">
        <v>1392</v>
      </c>
      <c r="H108" t="s">
        <v>23</v>
      </c>
      <c r="I108" t="s">
        <v>1921</v>
      </c>
      <c r="J108" t="s">
        <v>1977</v>
      </c>
      <c r="L108" t="s">
        <v>25</v>
      </c>
      <c r="M108" t="s">
        <v>2516</v>
      </c>
      <c r="N108" t="s">
        <v>829</v>
      </c>
      <c r="O108" t="s">
        <v>3676</v>
      </c>
    </row>
  </sheetData>
  <sortState xmlns:xlrd2="http://schemas.microsoft.com/office/spreadsheetml/2017/richdata2" ref="A2:O108">
    <sortCondition descending="1" ref="C1:C108"/>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E837F-7E8C-4E4E-9943-340CDD374A6F}">
  <sheetPr codeName="Ark11"/>
  <dimension ref="A1:N15"/>
  <sheetViews>
    <sheetView workbookViewId="0">
      <selection activeCell="F30" sqref="F30"/>
    </sheetView>
  </sheetViews>
  <sheetFormatPr defaultRowHeight="14.4" x14ac:dyDescent="0.3"/>
  <sheetData>
    <row r="1" spans="1:14" x14ac:dyDescent="0.3">
      <c r="A1" s="10" t="s">
        <v>9</v>
      </c>
      <c r="B1" s="10" t="s">
        <v>0</v>
      </c>
      <c r="C1" s="10" t="s">
        <v>732</v>
      </c>
      <c r="D1" s="10" t="s">
        <v>1</v>
      </c>
      <c r="E1" s="10" t="s">
        <v>2</v>
      </c>
      <c r="F1" s="10" t="s">
        <v>3</v>
      </c>
      <c r="G1" s="10" t="s">
        <v>4</v>
      </c>
      <c r="H1" s="10" t="s">
        <v>10</v>
      </c>
      <c r="I1" s="10" t="s">
        <v>5</v>
      </c>
      <c r="J1" s="10" t="s">
        <v>6</v>
      </c>
      <c r="K1" s="10" t="s">
        <v>7</v>
      </c>
      <c r="L1" s="10" t="s">
        <v>8</v>
      </c>
      <c r="M1" s="1" t="s">
        <v>736</v>
      </c>
      <c r="N1" s="10" t="s">
        <v>917</v>
      </c>
    </row>
    <row r="2" spans="1:14" x14ac:dyDescent="0.3">
      <c r="A2" t="s">
        <v>2620</v>
      </c>
      <c r="B2" t="s">
        <v>2621</v>
      </c>
      <c r="C2" s="3" t="s">
        <v>733</v>
      </c>
      <c r="D2" t="s">
        <v>2622</v>
      </c>
      <c r="E2" t="s">
        <v>2617</v>
      </c>
      <c r="F2" t="s">
        <v>1573</v>
      </c>
      <c r="G2" t="s">
        <v>1574</v>
      </c>
      <c r="H2" t="s">
        <v>32</v>
      </c>
      <c r="I2" t="s">
        <v>2618</v>
      </c>
      <c r="L2" t="s">
        <v>25</v>
      </c>
      <c r="M2" t="s">
        <v>2695</v>
      </c>
      <c r="N2" t="s">
        <v>3674</v>
      </c>
    </row>
    <row r="3" spans="1:14" x14ac:dyDescent="0.3">
      <c r="A3" t="s">
        <v>2642</v>
      </c>
      <c r="B3" t="s">
        <v>2643</v>
      </c>
      <c r="C3" s="3">
        <v>46</v>
      </c>
      <c r="D3" t="s">
        <v>2644</v>
      </c>
      <c r="E3" t="s">
        <v>2645</v>
      </c>
      <c r="F3" t="s">
        <v>21</v>
      </c>
      <c r="G3" t="s">
        <v>22</v>
      </c>
      <c r="H3" t="s">
        <v>32</v>
      </c>
      <c r="I3" t="s">
        <v>2618</v>
      </c>
      <c r="J3" t="s">
        <v>2646</v>
      </c>
      <c r="K3" t="s">
        <v>2647</v>
      </c>
      <c r="L3" t="s">
        <v>25</v>
      </c>
      <c r="M3" t="s">
        <v>2699</v>
      </c>
      <c r="N3" t="s">
        <v>3674</v>
      </c>
    </row>
    <row r="4" spans="1:14" x14ac:dyDescent="0.3">
      <c r="A4" t="s">
        <v>2623</v>
      </c>
      <c r="B4" t="s">
        <v>2624</v>
      </c>
      <c r="C4" s="3">
        <v>43</v>
      </c>
      <c r="D4" t="s">
        <v>2625</v>
      </c>
      <c r="E4" t="s">
        <v>2626</v>
      </c>
      <c r="F4" t="s">
        <v>2627</v>
      </c>
      <c r="G4" t="s">
        <v>2628</v>
      </c>
      <c r="H4" t="s">
        <v>32</v>
      </c>
      <c r="I4" t="s">
        <v>2618</v>
      </c>
      <c r="J4" t="s">
        <v>2629</v>
      </c>
      <c r="K4" t="s">
        <v>2630</v>
      </c>
      <c r="L4" t="s">
        <v>25</v>
      </c>
      <c r="M4" t="s">
        <v>2696</v>
      </c>
      <c r="N4" t="s">
        <v>3673</v>
      </c>
    </row>
    <row r="5" spans="1:14" x14ac:dyDescent="0.3">
      <c r="A5" t="s">
        <v>2614</v>
      </c>
      <c r="B5" t="s">
        <v>2615</v>
      </c>
      <c r="C5" s="3">
        <v>40</v>
      </c>
      <c r="D5" t="s">
        <v>2616</v>
      </c>
      <c r="E5" t="s">
        <v>2617</v>
      </c>
      <c r="F5" t="s">
        <v>1573</v>
      </c>
      <c r="G5" t="s">
        <v>1574</v>
      </c>
      <c r="H5" t="s">
        <v>23</v>
      </c>
      <c r="I5" t="s">
        <v>2618</v>
      </c>
      <c r="J5" t="s">
        <v>2619</v>
      </c>
      <c r="L5" t="s">
        <v>25</v>
      </c>
      <c r="M5" t="s">
        <v>2694</v>
      </c>
      <c r="N5" t="s">
        <v>3674</v>
      </c>
    </row>
    <row r="6" spans="1:14" x14ac:dyDescent="0.3">
      <c r="A6" t="s">
        <v>2648</v>
      </c>
      <c r="B6" t="s">
        <v>2649</v>
      </c>
      <c r="C6" s="3">
        <v>39</v>
      </c>
      <c r="D6" t="s">
        <v>2650</v>
      </c>
      <c r="E6" t="s">
        <v>2651</v>
      </c>
      <c r="F6" t="s">
        <v>2652</v>
      </c>
      <c r="G6" t="s">
        <v>2653</v>
      </c>
      <c r="H6" t="s">
        <v>32</v>
      </c>
      <c r="I6" t="s">
        <v>2618</v>
      </c>
      <c r="J6" t="s">
        <v>2654</v>
      </c>
      <c r="L6" t="s">
        <v>25</v>
      </c>
      <c r="M6" t="s">
        <v>2700</v>
      </c>
      <c r="N6" t="s">
        <v>3673</v>
      </c>
    </row>
    <row r="7" spans="1:14" x14ac:dyDescent="0.3">
      <c r="A7" t="s">
        <v>2661</v>
      </c>
      <c r="B7" t="s">
        <v>2662</v>
      </c>
      <c r="C7" s="3">
        <v>39</v>
      </c>
      <c r="D7" t="s">
        <v>2663</v>
      </c>
      <c r="E7" t="s">
        <v>2664</v>
      </c>
      <c r="F7" t="s">
        <v>214</v>
      </c>
      <c r="G7" t="s">
        <v>215</v>
      </c>
      <c r="H7" t="s">
        <v>32</v>
      </c>
      <c r="I7" t="s">
        <v>2618</v>
      </c>
      <c r="L7" t="s">
        <v>25</v>
      </c>
      <c r="M7" t="s">
        <v>2702</v>
      </c>
      <c r="N7" t="s">
        <v>3675</v>
      </c>
    </row>
    <row r="8" spans="1:14" x14ac:dyDescent="0.3">
      <c r="A8" t="s">
        <v>2637</v>
      </c>
      <c r="B8" t="s">
        <v>2638</v>
      </c>
      <c r="C8" s="3">
        <v>34</v>
      </c>
      <c r="D8" t="s">
        <v>2639</v>
      </c>
      <c r="E8" t="s">
        <v>2640</v>
      </c>
      <c r="F8" t="s">
        <v>721</v>
      </c>
      <c r="G8" t="s">
        <v>722</v>
      </c>
      <c r="H8" t="s">
        <v>32</v>
      </c>
      <c r="I8" t="s">
        <v>2618</v>
      </c>
      <c r="J8" t="s">
        <v>2641</v>
      </c>
      <c r="L8" t="s">
        <v>25</v>
      </c>
      <c r="M8" t="s">
        <v>2698</v>
      </c>
      <c r="N8" t="s">
        <v>3674</v>
      </c>
    </row>
    <row r="9" spans="1:14" x14ac:dyDescent="0.3">
      <c r="A9" t="s">
        <v>2686</v>
      </c>
      <c r="B9" t="s">
        <v>2687</v>
      </c>
      <c r="C9" s="3">
        <v>24</v>
      </c>
      <c r="D9" t="s">
        <v>2688</v>
      </c>
      <c r="E9" t="s">
        <v>2689</v>
      </c>
      <c r="F9" t="s">
        <v>2690</v>
      </c>
      <c r="G9" t="s">
        <v>2691</v>
      </c>
      <c r="H9" t="s">
        <v>23</v>
      </c>
      <c r="I9" t="s">
        <v>2618</v>
      </c>
      <c r="J9" t="s">
        <v>2692</v>
      </c>
      <c r="K9" t="s">
        <v>2693</v>
      </c>
      <c r="L9" t="s">
        <v>25</v>
      </c>
      <c r="M9" t="s">
        <v>2707</v>
      </c>
      <c r="N9" t="s">
        <v>3675</v>
      </c>
    </row>
    <row r="10" spans="1:14" x14ac:dyDescent="0.3">
      <c r="A10" t="s">
        <v>2665</v>
      </c>
      <c r="B10" t="s">
        <v>2666</v>
      </c>
      <c r="C10" s="3">
        <v>20</v>
      </c>
      <c r="D10" t="s">
        <v>2667</v>
      </c>
      <c r="E10" t="s">
        <v>2668</v>
      </c>
      <c r="F10" t="s">
        <v>326</v>
      </c>
      <c r="G10" t="s">
        <v>327</v>
      </c>
      <c r="H10" t="s">
        <v>32</v>
      </c>
      <c r="I10" t="s">
        <v>2618</v>
      </c>
      <c r="L10" t="s">
        <v>25</v>
      </c>
      <c r="M10" t="s">
        <v>2703</v>
      </c>
      <c r="N10" t="s">
        <v>3674</v>
      </c>
    </row>
    <row r="11" spans="1:14" x14ac:dyDescent="0.3">
      <c r="A11" t="s">
        <v>2669</v>
      </c>
      <c r="B11" t="s">
        <v>2670</v>
      </c>
      <c r="C11" s="3">
        <v>17</v>
      </c>
      <c r="D11" t="s">
        <v>2671</v>
      </c>
      <c r="E11" t="s">
        <v>2672</v>
      </c>
      <c r="F11" t="s">
        <v>2673</v>
      </c>
      <c r="G11" t="s">
        <v>2674</v>
      </c>
      <c r="H11" t="s">
        <v>32</v>
      </c>
      <c r="I11" t="s">
        <v>2618</v>
      </c>
      <c r="J11" t="s">
        <v>2675</v>
      </c>
      <c r="K11" t="s">
        <v>2676</v>
      </c>
      <c r="L11" t="s">
        <v>25</v>
      </c>
      <c r="M11" t="s">
        <v>2704</v>
      </c>
      <c r="N11" t="s">
        <v>3674</v>
      </c>
    </row>
    <row r="12" spans="1:14" x14ac:dyDescent="0.3">
      <c r="A12" t="s">
        <v>2681</v>
      </c>
      <c r="B12" t="s">
        <v>2682</v>
      </c>
      <c r="C12" s="3">
        <v>17</v>
      </c>
      <c r="D12" t="s">
        <v>2683</v>
      </c>
      <c r="E12" t="s">
        <v>2684</v>
      </c>
      <c r="F12" t="s">
        <v>114</v>
      </c>
      <c r="G12" t="s">
        <v>115</v>
      </c>
      <c r="H12" t="s">
        <v>32</v>
      </c>
      <c r="I12" t="s">
        <v>2618</v>
      </c>
      <c r="K12" t="s">
        <v>2685</v>
      </c>
      <c r="L12" t="s">
        <v>25</v>
      </c>
      <c r="M12" t="s">
        <v>2706</v>
      </c>
      <c r="N12" t="s">
        <v>3673</v>
      </c>
    </row>
    <row r="13" spans="1:14" x14ac:dyDescent="0.3">
      <c r="A13" t="s">
        <v>2655</v>
      </c>
      <c r="B13" t="s">
        <v>2656</v>
      </c>
      <c r="C13" s="3">
        <v>14</v>
      </c>
      <c r="D13" t="s">
        <v>2657</v>
      </c>
      <c r="E13" t="s">
        <v>2658</v>
      </c>
      <c r="F13" t="s">
        <v>2659</v>
      </c>
      <c r="G13" t="s">
        <v>2660</v>
      </c>
      <c r="H13" t="s">
        <v>32</v>
      </c>
      <c r="I13" t="s">
        <v>2618</v>
      </c>
      <c r="L13" t="s">
        <v>25</v>
      </c>
      <c r="M13" t="s">
        <v>2701</v>
      </c>
      <c r="N13" t="s">
        <v>3673</v>
      </c>
    </row>
    <row r="14" spans="1:14" x14ac:dyDescent="0.3">
      <c r="A14" t="s">
        <v>2631</v>
      </c>
      <c r="B14" t="s">
        <v>2632</v>
      </c>
      <c r="C14" s="3">
        <v>13</v>
      </c>
      <c r="D14" t="s">
        <v>2633</v>
      </c>
      <c r="E14" t="s">
        <v>2634</v>
      </c>
      <c r="F14" t="s">
        <v>318</v>
      </c>
      <c r="G14" t="s">
        <v>319</v>
      </c>
      <c r="H14" t="s">
        <v>32</v>
      </c>
      <c r="I14" t="s">
        <v>2618</v>
      </c>
      <c r="J14" t="s">
        <v>2635</v>
      </c>
      <c r="K14" t="s">
        <v>2636</v>
      </c>
      <c r="L14" t="s">
        <v>25</v>
      </c>
      <c r="M14" t="s">
        <v>2697</v>
      </c>
      <c r="N14" t="s">
        <v>3673</v>
      </c>
    </row>
    <row r="15" spans="1:14" x14ac:dyDescent="0.3">
      <c r="A15" t="s">
        <v>2677</v>
      </c>
      <c r="B15" t="s">
        <v>2678</v>
      </c>
      <c r="C15" s="3">
        <v>12</v>
      </c>
      <c r="D15" t="s">
        <v>2679</v>
      </c>
      <c r="E15" t="s">
        <v>2680</v>
      </c>
      <c r="F15" t="s">
        <v>114</v>
      </c>
      <c r="G15" t="s">
        <v>115</v>
      </c>
      <c r="H15" t="s">
        <v>23</v>
      </c>
      <c r="I15" t="s">
        <v>2618</v>
      </c>
      <c r="L15" t="s">
        <v>25</v>
      </c>
      <c r="M15" t="s">
        <v>2705</v>
      </c>
      <c r="N15" t="s">
        <v>3675</v>
      </c>
    </row>
  </sheetData>
  <sortState xmlns:xlrd2="http://schemas.microsoft.com/office/spreadsheetml/2017/richdata2" ref="A2:N15">
    <sortCondition descending="1" ref="C1:C15"/>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5166D-E9C7-4DE8-9261-A3490C91D316}">
  <sheetPr codeName="Ark12"/>
  <dimension ref="A1:N9"/>
  <sheetViews>
    <sheetView workbookViewId="0">
      <selection activeCell="C1" sqref="C1:C1048576"/>
    </sheetView>
  </sheetViews>
  <sheetFormatPr defaultRowHeight="14.4" x14ac:dyDescent="0.3"/>
  <cols>
    <col min="2" max="2" width="10.33203125" customWidth="1"/>
  </cols>
  <sheetData>
    <row r="1" spans="1:14" x14ac:dyDescent="0.3">
      <c r="A1" s="10" t="s">
        <v>9</v>
      </c>
      <c r="B1" s="10" t="s">
        <v>0</v>
      </c>
      <c r="C1" s="10" t="s">
        <v>732</v>
      </c>
      <c r="D1" s="10" t="s">
        <v>1</v>
      </c>
      <c r="E1" s="10" t="s">
        <v>2</v>
      </c>
      <c r="F1" s="10" t="s">
        <v>3</v>
      </c>
      <c r="G1" s="10" t="s">
        <v>4</v>
      </c>
      <c r="H1" s="10" t="s">
        <v>10</v>
      </c>
      <c r="I1" s="10" t="s">
        <v>5</v>
      </c>
      <c r="J1" s="10" t="s">
        <v>6</v>
      </c>
      <c r="K1" s="10" t="s">
        <v>7</v>
      </c>
      <c r="L1" s="10" t="s">
        <v>8</v>
      </c>
      <c r="M1" s="1" t="s">
        <v>736</v>
      </c>
      <c r="N1" s="10" t="s">
        <v>917</v>
      </c>
    </row>
    <row r="2" spans="1:14" x14ac:dyDescent="0.3">
      <c r="A2" t="s">
        <v>2732</v>
      </c>
      <c r="B2" t="s">
        <v>2733</v>
      </c>
      <c r="C2" s="3" t="s">
        <v>733</v>
      </c>
      <c r="D2" t="s">
        <v>2713</v>
      </c>
      <c r="E2" t="s">
        <v>2714</v>
      </c>
      <c r="F2" t="s">
        <v>2040</v>
      </c>
      <c r="G2" t="s">
        <v>2041</v>
      </c>
      <c r="H2" t="s">
        <v>23</v>
      </c>
      <c r="I2" t="s">
        <v>2710</v>
      </c>
      <c r="L2" t="s">
        <v>25</v>
      </c>
      <c r="M2" t="s">
        <v>2783</v>
      </c>
      <c r="N2" t="s">
        <v>3673</v>
      </c>
    </row>
    <row r="3" spans="1:14" x14ac:dyDescent="0.3">
      <c r="A3" t="s">
        <v>2736</v>
      </c>
      <c r="B3" t="s">
        <v>2737</v>
      </c>
      <c r="C3" s="3" t="s">
        <v>733</v>
      </c>
      <c r="D3" t="s">
        <v>2717</v>
      </c>
      <c r="E3" t="s">
        <v>2718</v>
      </c>
      <c r="F3" t="s">
        <v>2738</v>
      </c>
      <c r="G3" t="s">
        <v>877</v>
      </c>
      <c r="H3" t="s">
        <v>23</v>
      </c>
      <c r="I3" t="s">
        <v>2710</v>
      </c>
      <c r="J3" t="s">
        <v>2739</v>
      </c>
      <c r="K3" t="s">
        <v>2719</v>
      </c>
      <c r="L3" t="s">
        <v>25</v>
      </c>
      <c r="M3" t="s">
        <v>2785</v>
      </c>
      <c r="N3" t="s">
        <v>3673</v>
      </c>
    </row>
    <row r="4" spans="1:14" x14ac:dyDescent="0.3">
      <c r="A4" t="s">
        <v>2730</v>
      </c>
      <c r="B4" t="s">
        <v>2731</v>
      </c>
      <c r="C4" s="3">
        <v>458</v>
      </c>
      <c r="D4" t="s">
        <v>2711</v>
      </c>
      <c r="E4" t="s">
        <v>2712</v>
      </c>
      <c r="F4" t="s">
        <v>464</v>
      </c>
      <c r="G4" t="s">
        <v>465</v>
      </c>
      <c r="H4" t="s">
        <v>32</v>
      </c>
      <c r="I4" t="s">
        <v>2710</v>
      </c>
      <c r="L4" t="s">
        <v>25</v>
      </c>
      <c r="M4" t="s">
        <v>2782</v>
      </c>
      <c r="N4" t="s">
        <v>3673</v>
      </c>
    </row>
    <row r="5" spans="1:14" x14ac:dyDescent="0.3">
      <c r="A5" t="s">
        <v>2734</v>
      </c>
      <c r="B5" t="s">
        <v>2735</v>
      </c>
      <c r="C5" s="3">
        <v>108</v>
      </c>
      <c r="D5" t="s">
        <v>2715</v>
      </c>
      <c r="E5" t="s">
        <v>2716</v>
      </c>
      <c r="F5" t="s">
        <v>673</v>
      </c>
      <c r="G5" t="s">
        <v>674</v>
      </c>
      <c r="H5" t="s">
        <v>32</v>
      </c>
      <c r="I5" t="s">
        <v>2710</v>
      </c>
      <c r="L5" t="s">
        <v>25</v>
      </c>
      <c r="M5" t="s">
        <v>2784</v>
      </c>
      <c r="N5" t="s">
        <v>831</v>
      </c>
    </row>
    <row r="6" spans="1:14" x14ac:dyDescent="0.3">
      <c r="A6" t="s">
        <v>2747</v>
      </c>
      <c r="B6" t="s">
        <v>2748</v>
      </c>
      <c r="C6" s="3">
        <v>98</v>
      </c>
      <c r="D6" t="s">
        <v>2726</v>
      </c>
      <c r="E6" t="s">
        <v>2727</v>
      </c>
      <c r="F6" t="s">
        <v>1186</v>
      </c>
      <c r="G6" t="s">
        <v>1187</v>
      </c>
      <c r="H6" t="s">
        <v>32</v>
      </c>
      <c r="I6" t="s">
        <v>2710</v>
      </c>
      <c r="J6" t="s">
        <v>2749</v>
      </c>
      <c r="L6" t="s">
        <v>25</v>
      </c>
      <c r="M6" t="s">
        <v>2788</v>
      </c>
      <c r="N6" t="s">
        <v>3673</v>
      </c>
    </row>
    <row r="7" spans="1:14" x14ac:dyDescent="0.3">
      <c r="A7" t="s">
        <v>2740</v>
      </c>
      <c r="B7" t="s">
        <v>2741</v>
      </c>
      <c r="C7" s="3">
        <v>59</v>
      </c>
      <c r="D7" t="s">
        <v>2720</v>
      </c>
      <c r="E7" t="s">
        <v>2721</v>
      </c>
      <c r="F7" t="s">
        <v>2742</v>
      </c>
      <c r="G7" t="s">
        <v>2722</v>
      </c>
      <c r="H7" t="s">
        <v>23</v>
      </c>
      <c r="I7" t="s">
        <v>2710</v>
      </c>
      <c r="J7" t="s">
        <v>2743</v>
      </c>
      <c r="K7" t="s">
        <v>2723</v>
      </c>
      <c r="L7" t="s">
        <v>25</v>
      </c>
      <c r="M7" t="s">
        <v>2786</v>
      </c>
      <c r="N7" t="s">
        <v>3675</v>
      </c>
    </row>
    <row r="8" spans="1:14" x14ac:dyDescent="0.3">
      <c r="A8" t="s">
        <v>2728</v>
      </c>
      <c r="B8" t="s">
        <v>2729</v>
      </c>
      <c r="C8" s="3">
        <v>48</v>
      </c>
      <c r="D8" t="s">
        <v>2708</v>
      </c>
      <c r="E8" t="s">
        <v>2709</v>
      </c>
      <c r="F8" t="s">
        <v>198</v>
      </c>
      <c r="G8" t="s">
        <v>199</v>
      </c>
      <c r="H8" t="s">
        <v>32</v>
      </c>
      <c r="I8" t="s">
        <v>2710</v>
      </c>
      <c r="L8" t="s">
        <v>25</v>
      </c>
      <c r="M8" t="s">
        <v>2781</v>
      </c>
      <c r="N8" t="s">
        <v>831</v>
      </c>
    </row>
    <row r="9" spans="1:14" x14ac:dyDescent="0.3">
      <c r="A9" t="s">
        <v>2744</v>
      </c>
      <c r="B9" t="s">
        <v>2745</v>
      </c>
      <c r="C9" s="3">
        <v>18</v>
      </c>
      <c r="D9" t="s">
        <v>2724</v>
      </c>
      <c r="E9" t="s">
        <v>2725</v>
      </c>
      <c r="F9" t="s">
        <v>1154</v>
      </c>
      <c r="G9" t="s">
        <v>1155</v>
      </c>
      <c r="H9" t="s">
        <v>23</v>
      </c>
      <c r="I9" t="s">
        <v>2710</v>
      </c>
      <c r="J9" t="s">
        <v>2746</v>
      </c>
      <c r="L9" t="s">
        <v>25</v>
      </c>
      <c r="M9" t="s">
        <v>2787</v>
      </c>
      <c r="N9" t="s">
        <v>3675</v>
      </c>
    </row>
  </sheetData>
  <sortState xmlns:xlrd2="http://schemas.microsoft.com/office/spreadsheetml/2017/richdata2" ref="A2:N9">
    <sortCondition descending="1" ref="C1:C9"/>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A0187-2B5C-475F-81C8-C7095B5EF2FD}">
  <sheetPr codeName="Ark13"/>
  <dimension ref="A1:N6"/>
  <sheetViews>
    <sheetView topLeftCell="B1" workbookViewId="0">
      <selection activeCell="C1" sqref="C1:C1048576"/>
    </sheetView>
  </sheetViews>
  <sheetFormatPr defaultRowHeight="14.4" x14ac:dyDescent="0.3"/>
  <sheetData>
    <row r="1" spans="1:14" x14ac:dyDescent="0.3">
      <c r="A1" s="10" t="s">
        <v>9</v>
      </c>
      <c r="B1" s="10" t="s">
        <v>0</v>
      </c>
      <c r="C1" s="10" t="s">
        <v>732</v>
      </c>
      <c r="D1" s="10" t="s">
        <v>1</v>
      </c>
      <c r="E1" s="10" t="s">
        <v>2</v>
      </c>
      <c r="F1" s="10" t="s">
        <v>3</v>
      </c>
      <c r="G1" s="10" t="s">
        <v>4</v>
      </c>
      <c r="H1" s="10" t="s">
        <v>10</v>
      </c>
      <c r="I1" s="10" t="s">
        <v>5</v>
      </c>
      <c r="J1" s="10" t="s">
        <v>6</v>
      </c>
      <c r="K1" s="10" t="s">
        <v>7</v>
      </c>
      <c r="L1" s="10" t="s">
        <v>8</v>
      </c>
      <c r="M1" s="1" t="s">
        <v>736</v>
      </c>
      <c r="N1" s="10" t="s">
        <v>917</v>
      </c>
    </row>
    <row r="2" spans="1:14" x14ac:dyDescent="0.3">
      <c r="A2" t="s">
        <v>2750</v>
      </c>
      <c r="B2" t="s">
        <v>2751</v>
      </c>
      <c r="C2" s="3" t="s">
        <v>733</v>
      </c>
      <c r="D2" t="s">
        <v>2752</v>
      </c>
      <c r="E2" t="s">
        <v>2753</v>
      </c>
      <c r="F2" t="s">
        <v>367</v>
      </c>
      <c r="G2" t="s">
        <v>368</v>
      </c>
      <c r="H2" t="s">
        <v>23</v>
      </c>
      <c r="I2" t="s">
        <v>2754</v>
      </c>
      <c r="J2" t="s">
        <v>2755</v>
      </c>
      <c r="K2" t="s">
        <v>2756</v>
      </c>
      <c r="L2" t="s">
        <v>25</v>
      </c>
      <c r="M2" t="s">
        <v>2789</v>
      </c>
      <c r="N2" t="s">
        <v>831</v>
      </c>
    </row>
    <row r="3" spans="1:14" x14ac:dyDescent="0.3">
      <c r="A3" t="s">
        <v>2757</v>
      </c>
      <c r="B3" t="s">
        <v>2758</v>
      </c>
      <c r="C3" s="3" t="s">
        <v>733</v>
      </c>
      <c r="D3" t="s">
        <v>2759</v>
      </c>
      <c r="E3" t="s">
        <v>2760</v>
      </c>
      <c r="F3" t="s">
        <v>2761</v>
      </c>
      <c r="G3" t="s">
        <v>2762</v>
      </c>
      <c r="H3" t="s">
        <v>23</v>
      </c>
      <c r="I3" t="s">
        <v>2754</v>
      </c>
      <c r="J3" t="s">
        <v>2763</v>
      </c>
      <c r="K3" t="s">
        <v>2764</v>
      </c>
      <c r="L3" t="s">
        <v>25</v>
      </c>
      <c r="M3" t="s">
        <v>2790</v>
      </c>
      <c r="N3" t="s">
        <v>829</v>
      </c>
    </row>
    <row r="4" spans="1:14" x14ac:dyDescent="0.3">
      <c r="A4" t="s">
        <v>2765</v>
      </c>
      <c r="B4" t="s">
        <v>1341</v>
      </c>
      <c r="C4" s="3">
        <v>57</v>
      </c>
      <c r="D4" t="s">
        <v>2766</v>
      </c>
      <c r="E4" t="s">
        <v>2767</v>
      </c>
      <c r="F4" t="s">
        <v>2408</v>
      </c>
      <c r="G4" t="s">
        <v>2409</v>
      </c>
      <c r="H4" t="s">
        <v>32</v>
      </c>
      <c r="I4" t="s">
        <v>2754</v>
      </c>
      <c r="K4" t="s">
        <v>2768</v>
      </c>
      <c r="L4" t="s">
        <v>25</v>
      </c>
      <c r="M4" t="s">
        <v>2791</v>
      </c>
      <c r="N4" t="s">
        <v>3673</v>
      </c>
    </row>
    <row r="5" spans="1:14" x14ac:dyDescent="0.3">
      <c r="A5" t="s">
        <v>2775</v>
      </c>
      <c r="B5" t="s">
        <v>2776</v>
      </c>
      <c r="C5" s="3">
        <v>50</v>
      </c>
      <c r="D5" t="s">
        <v>2777</v>
      </c>
      <c r="E5" t="s">
        <v>2778</v>
      </c>
      <c r="F5" t="s">
        <v>198</v>
      </c>
      <c r="G5" t="s">
        <v>199</v>
      </c>
      <c r="H5" t="s">
        <v>23</v>
      </c>
      <c r="I5" t="s">
        <v>2754</v>
      </c>
      <c r="J5" t="s">
        <v>2779</v>
      </c>
      <c r="K5" t="s">
        <v>2780</v>
      </c>
      <c r="L5" t="s">
        <v>25</v>
      </c>
      <c r="M5" t="s">
        <v>2793</v>
      </c>
      <c r="N5" t="s">
        <v>3673</v>
      </c>
    </row>
    <row r="6" spans="1:14" x14ac:dyDescent="0.3">
      <c r="A6" t="s">
        <v>2769</v>
      </c>
      <c r="B6" t="s">
        <v>2770</v>
      </c>
      <c r="C6" s="3">
        <v>14</v>
      </c>
      <c r="D6" t="s">
        <v>2771</v>
      </c>
      <c r="E6" t="s">
        <v>2772</v>
      </c>
      <c r="F6" t="s">
        <v>198</v>
      </c>
      <c r="G6" t="s">
        <v>199</v>
      </c>
      <c r="H6" t="s">
        <v>23</v>
      </c>
      <c r="I6" t="s">
        <v>2754</v>
      </c>
      <c r="J6" t="s">
        <v>2773</v>
      </c>
      <c r="K6" t="s">
        <v>2774</v>
      </c>
      <c r="L6" t="s">
        <v>25</v>
      </c>
      <c r="M6" t="s">
        <v>2792</v>
      </c>
      <c r="N6" t="s">
        <v>3674</v>
      </c>
    </row>
  </sheetData>
  <sortState xmlns:xlrd2="http://schemas.microsoft.com/office/spreadsheetml/2017/richdata2" ref="A2:N6">
    <sortCondition descending="1" ref="C1:C6"/>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96111-0FC6-4D2E-A880-54099D287A8E}">
  <sheetPr codeName="Ark14"/>
  <dimension ref="A1:N33"/>
  <sheetViews>
    <sheetView workbookViewId="0">
      <selection activeCell="F36" sqref="F36"/>
    </sheetView>
  </sheetViews>
  <sheetFormatPr defaultRowHeight="14.4" x14ac:dyDescent="0.3"/>
  <sheetData>
    <row r="1" spans="1:14" x14ac:dyDescent="0.3">
      <c r="A1" s="10" t="s">
        <v>9</v>
      </c>
      <c r="B1" s="10" t="s">
        <v>0</v>
      </c>
      <c r="C1" s="10" t="s">
        <v>732</v>
      </c>
      <c r="D1" s="10" t="s">
        <v>1</v>
      </c>
      <c r="E1" s="10" t="s">
        <v>2</v>
      </c>
      <c r="F1" s="10" t="s">
        <v>3</v>
      </c>
      <c r="G1" s="10" t="s">
        <v>4</v>
      </c>
      <c r="H1" s="10" t="s">
        <v>10</v>
      </c>
      <c r="I1" s="10" t="s">
        <v>5</v>
      </c>
      <c r="J1" s="10" t="s">
        <v>6</v>
      </c>
      <c r="K1" s="10" t="s">
        <v>7</v>
      </c>
      <c r="L1" s="10" t="s">
        <v>8</v>
      </c>
      <c r="M1" s="1" t="s">
        <v>736</v>
      </c>
      <c r="N1" s="10" t="s">
        <v>917</v>
      </c>
    </row>
    <row r="2" spans="1:14" x14ac:dyDescent="0.3">
      <c r="A2" t="s">
        <v>2928</v>
      </c>
      <c r="B2" t="s">
        <v>2929</v>
      </c>
      <c r="C2" s="3" t="s">
        <v>733</v>
      </c>
      <c r="D2" t="s">
        <v>2930</v>
      </c>
      <c r="E2" t="s">
        <v>2931</v>
      </c>
      <c r="F2" t="s">
        <v>39</v>
      </c>
      <c r="G2" t="s">
        <v>40</v>
      </c>
      <c r="H2" t="s">
        <v>32</v>
      </c>
      <c r="I2" t="s">
        <v>2798</v>
      </c>
      <c r="J2" t="s">
        <v>2932</v>
      </c>
      <c r="L2" t="s">
        <v>25</v>
      </c>
      <c r="M2" t="s">
        <v>2992</v>
      </c>
      <c r="N2" t="s">
        <v>3673</v>
      </c>
    </row>
    <row r="3" spans="1:14" x14ac:dyDescent="0.3">
      <c r="A3" t="s">
        <v>2921</v>
      </c>
      <c r="B3" t="s">
        <v>2922</v>
      </c>
      <c r="C3" s="3">
        <v>94</v>
      </c>
      <c r="D3" t="s">
        <v>2923</v>
      </c>
      <c r="E3" t="s">
        <v>2924</v>
      </c>
      <c r="F3" t="s">
        <v>2925</v>
      </c>
      <c r="G3" t="s">
        <v>2926</v>
      </c>
      <c r="H3" t="s">
        <v>32</v>
      </c>
      <c r="I3" t="s">
        <v>2798</v>
      </c>
      <c r="J3" t="s">
        <v>2927</v>
      </c>
      <c r="L3" t="s">
        <v>25</v>
      </c>
      <c r="M3" t="s">
        <v>2991</v>
      </c>
      <c r="N3" t="s">
        <v>3675</v>
      </c>
    </row>
    <row r="4" spans="1:14" x14ac:dyDescent="0.3">
      <c r="A4" t="s">
        <v>2933</v>
      </c>
      <c r="B4" t="s">
        <v>2934</v>
      </c>
      <c r="C4" s="3">
        <v>60</v>
      </c>
      <c r="D4" t="s">
        <v>2935</v>
      </c>
      <c r="E4" t="s">
        <v>2936</v>
      </c>
      <c r="F4" t="s">
        <v>2937</v>
      </c>
      <c r="G4" t="s">
        <v>2938</v>
      </c>
      <c r="H4" t="s">
        <v>23</v>
      </c>
      <c r="I4" t="s">
        <v>2798</v>
      </c>
      <c r="J4" t="s">
        <v>2939</v>
      </c>
      <c r="K4" t="s">
        <v>2940</v>
      </c>
      <c r="L4" t="s">
        <v>25</v>
      </c>
      <c r="M4" t="s">
        <v>2993</v>
      </c>
      <c r="N4" t="s">
        <v>3675</v>
      </c>
    </row>
    <row r="5" spans="1:14" x14ac:dyDescent="0.3">
      <c r="A5" t="s">
        <v>2947</v>
      </c>
      <c r="B5" t="s">
        <v>952</v>
      </c>
      <c r="C5" s="3">
        <v>60</v>
      </c>
      <c r="D5" t="s">
        <v>2948</v>
      </c>
      <c r="E5" t="s">
        <v>2949</v>
      </c>
      <c r="F5" t="s">
        <v>2228</v>
      </c>
      <c r="G5" t="s">
        <v>2229</v>
      </c>
      <c r="H5" t="s">
        <v>32</v>
      </c>
      <c r="I5" t="s">
        <v>2798</v>
      </c>
      <c r="L5" t="s">
        <v>25</v>
      </c>
      <c r="M5" t="s">
        <v>2995</v>
      </c>
      <c r="N5" t="s">
        <v>3674</v>
      </c>
    </row>
    <row r="6" spans="1:14" x14ac:dyDescent="0.3">
      <c r="A6" t="s">
        <v>2824</v>
      </c>
      <c r="B6" t="s">
        <v>1423</v>
      </c>
      <c r="C6" s="3">
        <v>51</v>
      </c>
      <c r="D6" t="s">
        <v>2825</v>
      </c>
      <c r="E6" t="s">
        <v>2826</v>
      </c>
      <c r="F6" t="s">
        <v>2827</v>
      </c>
      <c r="G6" t="s">
        <v>2828</v>
      </c>
      <c r="H6" t="s">
        <v>32</v>
      </c>
      <c r="I6" t="s">
        <v>2798</v>
      </c>
      <c r="J6" t="s">
        <v>2829</v>
      </c>
      <c r="K6" t="s">
        <v>2830</v>
      </c>
      <c r="L6" t="s">
        <v>25</v>
      </c>
      <c r="M6" t="s">
        <v>2974</v>
      </c>
      <c r="N6" t="s">
        <v>3675</v>
      </c>
    </row>
    <row r="7" spans="1:14" x14ac:dyDescent="0.3">
      <c r="A7" t="s">
        <v>2861</v>
      </c>
      <c r="B7" t="s">
        <v>2862</v>
      </c>
      <c r="C7" s="3">
        <v>46</v>
      </c>
      <c r="D7" t="s">
        <v>2863</v>
      </c>
      <c r="E7" t="s">
        <v>2864</v>
      </c>
      <c r="F7" t="s">
        <v>2865</v>
      </c>
      <c r="G7" t="s">
        <v>2866</v>
      </c>
      <c r="H7" t="s">
        <v>32</v>
      </c>
      <c r="I7" t="s">
        <v>2798</v>
      </c>
      <c r="L7" t="s">
        <v>25</v>
      </c>
      <c r="M7" t="s">
        <v>2981</v>
      </c>
      <c r="N7" t="s">
        <v>831</v>
      </c>
    </row>
    <row r="8" spans="1:14" x14ac:dyDescent="0.3">
      <c r="A8" t="s">
        <v>2872</v>
      </c>
      <c r="B8" t="s">
        <v>2873</v>
      </c>
      <c r="C8" s="3">
        <v>46</v>
      </c>
      <c r="D8" t="s">
        <v>2874</v>
      </c>
      <c r="E8" t="s">
        <v>2875</v>
      </c>
      <c r="F8" t="s">
        <v>2009</v>
      </c>
      <c r="G8" t="s">
        <v>2010</v>
      </c>
      <c r="H8" t="s">
        <v>32</v>
      </c>
      <c r="I8" t="s">
        <v>2798</v>
      </c>
      <c r="J8" t="s">
        <v>2876</v>
      </c>
      <c r="K8" t="s">
        <v>2877</v>
      </c>
      <c r="L8" t="s">
        <v>25</v>
      </c>
      <c r="M8" t="s">
        <v>2983</v>
      </c>
      <c r="N8" t="s">
        <v>3673</v>
      </c>
    </row>
    <row r="9" spans="1:14" x14ac:dyDescent="0.3">
      <c r="A9" t="s">
        <v>2810</v>
      </c>
      <c r="B9" t="s">
        <v>2811</v>
      </c>
      <c r="C9" s="3">
        <v>42</v>
      </c>
      <c r="D9" t="s">
        <v>2812</v>
      </c>
      <c r="E9" t="s">
        <v>2813</v>
      </c>
      <c r="F9" t="s">
        <v>326</v>
      </c>
      <c r="G9" t="s">
        <v>327</v>
      </c>
      <c r="H9" t="s">
        <v>32</v>
      </c>
      <c r="I9" t="s">
        <v>2798</v>
      </c>
      <c r="J9" t="s">
        <v>2814</v>
      </c>
      <c r="L9" t="s">
        <v>25</v>
      </c>
      <c r="M9" t="s">
        <v>2971</v>
      </c>
      <c r="N9" t="s">
        <v>3675</v>
      </c>
    </row>
    <row r="10" spans="1:14" x14ac:dyDescent="0.3">
      <c r="A10" t="s">
        <v>2891</v>
      </c>
      <c r="B10" t="s">
        <v>2729</v>
      </c>
      <c r="C10" s="3">
        <v>41</v>
      </c>
      <c r="D10" t="s">
        <v>2892</v>
      </c>
      <c r="E10" t="s">
        <v>2893</v>
      </c>
      <c r="F10" t="s">
        <v>1371</v>
      </c>
      <c r="G10" t="s">
        <v>1372</v>
      </c>
      <c r="H10" t="s">
        <v>32</v>
      </c>
      <c r="I10" t="s">
        <v>2798</v>
      </c>
      <c r="J10" t="s">
        <v>2894</v>
      </c>
      <c r="K10" t="s">
        <v>2895</v>
      </c>
      <c r="L10" t="s">
        <v>25</v>
      </c>
      <c r="M10" t="s">
        <v>2986</v>
      </c>
      <c r="N10" t="s">
        <v>3673</v>
      </c>
    </row>
    <row r="11" spans="1:14" x14ac:dyDescent="0.3">
      <c r="A11" t="s">
        <v>2853</v>
      </c>
      <c r="B11" t="s">
        <v>2854</v>
      </c>
      <c r="C11" s="3">
        <v>39</v>
      </c>
      <c r="D11" t="s">
        <v>2855</v>
      </c>
      <c r="E11" t="s">
        <v>2856</v>
      </c>
      <c r="F11" t="s">
        <v>114</v>
      </c>
      <c r="G11" t="s">
        <v>115</v>
      </c>
      <c r="H11" t="s">
        <v>23</v>
      </c>
      <c r="I11" t="s">
        <v>2798</v>
      </c>
      <c r="J11" t="s">
        <v>2857</v>
      </c>
      <c r="L11" t="s">
        <v>25</v>
      </c>
      <c r="M11" t="s">
        <v>2979</v>
      </c>
      <c r="N11" t="s">
        <v>3675</v>
      </c>
    </row>
    <row r="12" spans="1:14" x14ac:dyDescent="0.3">
      <c r="A12" t="s">
        <v>2903</v>
      </c>
      <c r="B12" t="s">
        <v>2904</v>
      </c>
      <c r="C12" s="3">
        <v>38</v>
      </c>
      <c r="D12" t="s">
        <v>2905</v>
      </c>
      <c r="E12" t="s">
        <v>2906</v>
      </c>
      <c r="F12" t="s">
        <v>2907</v>
      </c>
      <c r="G12" t="s">
        <v>2908</v>
      </c>
      <c r="H12" t="s">
        <v>23</v>
      </c>
      <c r="I12" t="s">
        <v>2798</v>
      </c>
      <c r="L12" t="s">
        <v>25</v>
      </c>
      <c r="M12" t="s">
        <v>2988</v>
      </c>
      <c r="N12" t="s">
        <v>3675</v>
      </c>
    </row>
    <row r="13" spans="1:14" x14ac:dyDescent="0.3">
      <c r="A13" t="s">
        <v>2958</v>
      </c>
      <c r="B13" t="s">
        <v>2959</v>
      </c>
      <c r="C13" s="3">
        <v>38</v>
      </c>
      <c r="D13" t="s">
        <v>2960</v>
      </c>
      <c r="E13" t="s">
        <v>2961</v>
      </c>
      <c r="F13" t="s">
        <v>1261</v>
      </c>
      <c r="G13" t="s">
        <v>1262</v>
      </c>
      <c r="H13" t="s">
        <v>23</v>
      </c>
      <c r="I13" t="s">
        <v>2798</v>
      </c>
      <c r="J13" t="s">
        <v>2962</v>
      </c>
      <c r="K13" t="s">
        <v>2963</v>
      </c>
      <c r="L13" t="s">
        <v>25</v>
      </c>
      <c r="M13" t="s">
        <v>2998</v>
      </c>
      <c r="N13" t="s">
        <v>3675</v>
      </c>
    </row>
    <row r="14" spans="1:14" x14ac:dyDescent="0.3">
      <c r="A14" t="s">
        <v>2953</v>
      </c>
      <c r="B14" t="s">
        <v>2954</v>
      </c>
      <c r="C14" s="3">
        <v>37</v>
      </c>
      <c r="D14" t="s">
        <v>2955</v>
      </c>
      <c r="E14" t="s">
        <v>2956</v>
      </c>
      <c r="F14" t="s">
        <v>1110</v>
      </c>
      <c r="G14" t="s">
        <v>1111</v>
      </c>
      <c r="H14" t="s">
        <v>32</v>
      </c>
      <c r="I14" t="s">
        <v>2798</v>
      </c>
      <c r="J14" t="s">
        <v>2957</v>
      </c>
      <c r="L14" t="s">
        <v>25</v>
      </c>
      <c r="M14" t="s">
        <v>2997</v>
      </c>
      <c r="N14" t="s">
        <v>3675</v>
      </c>
    </row>
    <row r="15" spans="1:14" x14ac:dyDescent="0.3">
      <c r="A15" t="s">
        <v>2842</v>
      </c>
      <c r="B15" t="s">
        <v>2843</v>
      </c>
      <c r="C15" s="3">
        <v>36</v>
      </c>
      <c r="D15" t="s">
        <v>2844</v>
      </c>
      <c r="E15" t="s">
        <v>2845</v>
      </c>
      <c r="F15" t="s">
        <v>943</v>
      </c>
      <c r="G15" t="s">
        <v>944</v>
      </c>
      <c r="H15" t="s">
        <v>32</v>
      </c>
      <c r="I15" t="s">
        <v>2798</v>
      </c>
      <c r="J15" t="s">
        <v>2846</v>
      </c>
      <c r="K15" t="s">
        <v>2847</v>
      </c>
      <c r="L15" t="s">
        <v>25</v>
      </c>
      <c r="M15" t="s">
        <v>2977</v>
      </c>
      <c r="N15" t="s">
        <v>3673</v>
      </c>
    </row>
    <row r="16" spans="1:14" x14ac:dyDescent="0.3">
      <c r="A16" t="s">
        <v>2950</v>
      </c>
      <c r="B16" t="s">
        <v>90</v>
      </c>
      <c r="C16" s="3">
        <v>33</v>
      </c>
      <c r="D16" t="s">
        <v>2951</v>
      </c>
      <c r="E16" t="s">
        <v>2952</v>
      </c>
      <c r="F16" t="s">
        <v>2009</v>
      </c>
      <c r="G16" t="s">
        <v>2010</v>
      </c>
      <c r="H16" t="s">
        <v>32</v>
      </c>
      <c r="I16" t="s">
        <v>2798</v>
      </c>
      <c r="L16" t="s">
        <v>25</v>
      </c>
      <c r="M16" t="s">
        <v>2996</v>
      </c>
      <c r="N16" t="s">
        <v>831</v>
      </c>
    </row>
    <row r="17" spans="1:14" x14ac:dyDescent="0.3">
      <c r="A17" t="s">
        <v>2831</v>
      </c>
      <c r="B17" t="s">
        <v>1755</v>
      </c>
      <c r="C17" s="3">
        <v>30</v>
      </c>
      <c r="D17" t="s">
        <v>2832</v>
      </c>
      <c r="E17" t="s">
        <v>2833</v>
      </c>
      <c r="F17" t="s">
        <v>900</v>
      </c>
      <c r="G17" t="s">
        <v>901</v>
      </c>
      <c r="H17" t="s">
        <v>32</v>
      </c>
      <c r="I17" t="s">
        <v>2798</v>
      </c>
      <c r="J17" t="s">
        <v>2834</v>
      </c>
      <c r="L17" t="s">
        <v>25</v>
      </c>
      <c r="M17" t="s">
        <v>2975</v>
      </c>
      <c r="N17" t="s">
        <v>3673</v>
      </c>
    </row>
    <row r="18" spans="1:14" x14ac:dyDescent="0.3">
      <c r="A18" t="s">
        <v>2805</v>
      </c>
      <c r="B18" t="s">
        <v>2806</v>
      </c>
      <c r="C18" s="3">
        <v>29</v>
      </c>
      <c r="D18" t="s">
        <v>2807</v>
      </c>
      <c r="E18" t="s">
        <v>2808</v>
      </c>
      <c r="F18" t="s">
        <v>149</v>
      </c>
      <c r="G18" t="s">
        <v>150</v>
      </c>
      <c r="H18" t="s">
        <v>23</v>
      </c>
      <c r="I18" t="s">
        <v>2798</v>
      </c>
      <c r="J18" t="s">
        <v>2809</v>
      </c>
      <c r="L18" t="s">
        <v>25</v>
      </c>
      <c r="M18" t="s">
        <v>2970</v>
      </c>
      <c r="N18" t="s">
        <v>3675</v>
      </c>
    </row>
    <row r="19" spans="1:14" x14ac:dyDescent="0.3">
      <c r="A19" t="s">
        <v>2878</v>
      </c>
      <c r="B19" t="s">
        <v>2879</v>
      </c>
      <c r="C19" s="3">
        <v>29</v>
      </c>
      <c r="D19" t="s">
        <v>2880</v>
      </c>
      <c r="E19" t="s">
        <v>2881</v>
      </c>
      <c r="F19" t="s">
        <v>2827</v>
      </c>
      <c r="G19" t="s">
        <v>2828</v>
      </c>
      <c r="H19" t="s">
        <v>23</v>
      </c>
      <c r="I19" t="s">
        <v>2798</v>
      </c>
      <c r="J19" t="s">
        <v>2882</v>
      </c>
      <c r="K19" t="s">
        <v>2883</v>
      </c>
      <c r="L19" t="s">
        <v>25</v>
      </c>
      <c r="M19" t="s">
        <v>2984</v>
      </c>
      <c r="N19" t="s">
        <v>3675</v>
      </c>
    </row>
    <row r="20" spans="1:14" x14ac:dyDescent="0.3">
      <c r="A20" t="s">
        <v>2794</v>
      </c>
      <c r="B20" t="s">
        <v>2795</v>
      </c>
      <c r="C20" s="3">
        <v>28</v>
      </c>
      <c r="D20" t="s">
        <v>2796</v>
      </c>
      <c r="E20" t="s">
        <v>2797</v>
      </c>
      <c r="F20" t="s">
        <v>1180</v>
      </c>
      <c r="G20" t="s">
        <v>1181</v>
      </c>
      <c r="H20" t="s">
        <v>32</v>
      </c>
      <c r="I20" t="s">
        <v>2798</v>
      </c>
      <c r="J20" t="s">
        <v>2799</v>
      </c>
      <c r="K20" t="s">
        <v>2800</v>
      </c>
      <c r="L20" t="s">
        <v>25</v>
      </c>
      <c r="M20" t="s">
        <v>2968</v>
      </c>
      <c r="N20" t="s">
        <v>3673</v>
      </c>
    </row>
    <row r="21" spans="1:14" x14ac:dyDescent="0.3">
      <c r="A21" t="s">
        <v>2835</v>
      </c>
      <c r="B21" t="s">
        <v>2836</v>
      </c>
      <c r="C21" s="3">
        <v>26</v>
      </c>
      <c r="D21" t="s">
        <v>2837</v>
      </c>
      <c r="E21" t="s">
        <v>2838</v>
      </c>
      <c r="F21" t="s">
        <v>2839</v>
      </c>
      <c r="G21" t="s">
        <v>2840</v>
      </c>
      <c r="H21" t="s">
        <v>32</v>
      </c>
      <c r="I21" t="s">
        <v>2798</v>
      </c>
      <c r="J21" t="s">
        <v>2841</v>
      </c>
      <c r="L21" t="s">
        <v>25</v>
      </c>
      <c r="M21" t="s">
        <v>2976</v>
      </c>
      <c r="N21" t="s">
        <v>3673</v>
      </c>
    </row>
    <row r="22" spans="1:14" x14ac:dyDescent="0.3">
      <c r="A22" t="s">
        <v>2820</v>
      </c>
      <c r="B22" t="s">
        <v>2821</v>
      </c>
      <c r="C22" s="3">
        <v>24</v>
      </c>
      <c r="D22" t="s">
        <v>2822</v>
      </c>
      <c r="E22" t="s">
        <v>2823</v>
      </c>
      <c r="F22" t="s">
        <v>2388</v>
      </c>
      <c r="G22" t="s">
        <v>2389</v>
      </c>
      <c r="H22" t="s">
        <v>32</v>
      </c>
      <c r="I22" t="s">
        <v>2798</v>
      </c>
      <c r="L22" t="s">
        <v>25</v>
      </c>
      <c r="M22" t="s">
        <v>2973</v>
      </c>
      <c r="N22" t="s">
        <v>3674</v>
      </c>
    </row>
    <row r="23" spans="1:14" x14ac:dyDescent="0.3">
      <c r="A23" t="s">
        <v>2964</v>
      </c>
      <c r="B23" t="s">
        <v>2965</v>
      </c>
      <c r="C23" s="3">
        <v>24</v>
      </c>
      <c r="D23" t="s">
        <v>2966</v>
      </c>
      <c r="E23" t="s">
        <v>2967</v>
      </c>
      <c r="F23" t="s">
        <v>900</v>
      </c>
      <c r="G23" t="s">
        <v>901</v>
      </c>
      <c r="H23" t="s">
        <v>23</v>
      </c>
      <c r="I23" t="s">
        <v>2798</v>
      </c>
      <c r="L23" t="s">
        <v>25</v>
      </c>
      <c r="M23" t="s">
        <v>2999</v>
      </c>
      <c r="N23" t="s">
        <v>3675</v>
      </c>
    </row>
    <row r="24" spans="1:14" x14ac:dyDescent="0.3">
      <c r="A24" t="s">
        <v>2815</v>
      </c>
      <c r="B24" t="s">
        <v>2816</v>
      </c>
      <c r="C24" s="3">
        <v>23</v>
      </c>
      <c r="D24" t="s">
        <v>2817</v>
      </c>
      <c r="E24" t="s">
        <v>2818</v>
      </c>
      <c r="F24" t="s">
        <v>1632</v>
      </c>
      <c r="G24" t="s">
        <v>1633</v>
      </c>
      <c r="H24" t="s">
        <v>23</v>
      </c>
      <c r="I24" t="s">
        <v>2798</v>
      </c>
      <c r="J24" t="s">
        <v>2819</v>
      </c>
      <c r="L24" t="s">
        <v>25</v>
      </c>
      <c r="M24" t="s">
        <v>2972</v>
      </c>
      <c r="N24" t="s">
        <v>3675</v>
      </c>
    </row>
    <row r="25" spans="1:14" x14ac:dyDescent="0.3">
      <c r="A25" t="s">
        <v>2801</v>
      </c>
      <c r="B25" t="s">
        <v>2802</v>
      </c>
      <c r="C25" s="3">
        <v>21</v>
      </c>
      <c r="D25" t="s">
        <v>2803</v>
      </c>
      <c r="E25" t="s">
        <v>2804</v>
      </c>
      <c r="F25" t="s">
        <v>2215</v>
      </c>
      <c r="G25" t="s">
        <v>2216</v>
      </c>
      <c r="H25" t="s">
        <v>32</v>
      </c>
      <c r="I25" t="s">
        <v>2798</v>
      </c>
      <c r="L25" t="s">
        <v>25</v>
      </c>
      <c r="M25" t="s">
        <v>2969</v>
      </c>
      <c r="N25" t="s">
        <v>3675</v>
      </c>
    </row>
    <row r="26" spans="1:14" x14ac:dyDescent="0.3">
      <c r="A26" t="s">
        <v>2909</v>
      </c>
      <c r="B26" t="s">
        <v>1947</v>
      </c>
      <c r="C26" s="3">
        <v>20</v>
      </c>
      <c r="D26" t="s">
        <v>2910</v>
      </c>
      <c r="E26" t="s">
        <v>2911</v>
      </c>
      <c r="F26" t="s">
        <v>991</v>
      </c>
      <c r="G26" t="s">
        <v>992</v>
      </c>
      <c r="H26" t="s">
        <v>23</v>
      </c>
      <c r="I26" t="s">
        <v>2798</v>
      </c>
      <c r="J26" t="s">
        <v>2912</v>
      </c>
      <c r="K26" t="s">
        <v>2913</v>
      </c>
      <c r="L26" t="s">
        <v>25</v>
      </c>
      <c r="M26" t="s">
        <v>2989</v>
      </c>
      <c r="N26" t="s">
        <v>3675</v>
      </c>
    </row>
    <row r="27" spans="1:14" x14ac:dyDescent="0.3">
      <c r="A27" t="s">
        <v>2884</v>
      </c>
      <c r="B27" t="s">
        <v>2885</v>
      </c>
      <c r="C27" s="3">
        <v>18</v>
      </c>
      <c r="D27" t="s">
        <v>2886</v>
      </c>
      <c r="E27" t="s">
        <v>2887</v>
      </c>
      <c r="F27" t="s">
        <v>2888</v>
      </c>
      <c r="G27" t="s">
        <v>2889</v>
      </c>
      <c r="H27" t="s">
        <v>23</v>
      </c>
      <c r="I27" t="s">
        <v>2798</v>
      </c>
      <c r="J27" t="s">
        <v>2890</v>
      </c>
      <c r="L27" t="s">
        <v>25</v>
      </c>
      <c r="M27" t="s">
        <v>2985</v>
      </c>
      <c r="N27" t="s">
        <v>3675</v>
      </c>
    </row>
    <row r="28" spans="1:14" x14ac:dyDescent="0.3">
      <c r="A28" t="s">
        <v>2896</v>
      </c>
      <c r="B28" t="s">
        <v>2897</v>
      </c>
      <c r="C28" s="3">
        <v>18</v>
      </c>
      <c r="D28" t="s">
        <v>2898</v>
      </c>
      <c r="E28" t="s">
        <v>2899</v>
      </c>
      <c r="F28" t="s">
        <v>2900</v>
      </c>
      <c r="G28" t="s">
        <v>2901</v>
      </c>
      <c r="H28" t="s">
        <v>32</v>
      </c>
      <c r="I28" t="s">
        <v>2798</v>
      </c>
      <c r="J28" t="s">
        <v>2902</v>
      </c>
      <c r="L28" t="s">
        <v>25</v>
      </c>
      <c r="M28" t="s">
        <v>2987</v>
      </c>
      <c r="N28" t="s">
        <v>3675</v>
      </c>
    </row>
    <row r="29" spans="1:14" x14ac:dyDescent="0.3">
      <c r="A29" t="s">
        <v>2848</v>
      </c>
      <c r="B29" t="s">
        <v>2849</v>
      </c>
      <c r="C29" s="3">
        <v>17</v>
      </c>
      <c r="D29" t="s">
        <v>2850</v>
      </c>
      <c r="E29" t="s">
        <v>2851</v>
      </c>
      <c r="F29" t="s">
        <v>2284</v>
      </c>
      <c r="G29" t="s">
        <v>2285</v>
      </c>
      <c r="H29" t="s">
        <v>32</v>
      </c>
      <c r="I29" t="s">
        <v>2798</v>
      </c>
      <c r="J29" t="s">
        <v>2852</v>
      </c>
      <c r="L29" t="s">
        <v>25</v>
      </c>
      <c r="M29" t="s">
        <v>2978</v>
      </c>
      <c r="N29" t="s">
        <v>3673</v>
      </c>
    </row>
    <row r="30" spans="1:14" x14ac:dyDescent="0.3">
      <c r="A30" t="s">
        <v>2914</v>
      </c>
      <c r="B30" t="s">
        <v>2915</v>
      </c>
      <c r="C30" s="3">
        <v>16</v>
      </c>
      <c r="D30" t="s">
        <v>2916</v>
      </c>
      <c r="E30" t="s">
        <v>2917</v>
      </c>
      <c r="F30" t="s">
        <v>2918</v>
      </c>
      <c r="G30" t="s">
        <v>2919</v>
      </c>
      <c r="H30" t="s">
        <v>23</v>
      </c>
      <c r="I30" t="s">
        <v>2798</v>
      </c>
      <c r="J30" t="s">
        <v>2920</v>
      </c>
      <c r="L30" t="s">
        <v>25</v>
      </c>
      <c r="M30" t="s">
        <v>2990</v>
      </c>
      <c r="N30" t="s">
        <v>3675</v>
      </c>
    </row>
    <row r="31" spans="1:14" x14ac:dyDescent="0.3">
      <c r="A31" t="s">
        <v>2858</v>
      </c>
      <c r="B31" t="s">
        <v>2859</v>
      </c>
      <c r="C31" s="3">
        <v>15</v>
      </c>
      <c r="D31" t="s">
        <v>2860</v>
      </c>
      <c r="E31" t="s">
        <v>2425</v>
      </c>
      <c r="F31" t="s">
        <v>367</v>
      </c>
      <c r="G31" t="s">
        <v>368</v>
      </c>
      <c r="H31" t="s">
        <v>32</v>
      </c>
      <c r="I31" t="s">
        <v>2798</v>
      </c>
      <c r="L31" t="s">
        <v>25</v>
      </c>
      <c r="M31" t="s">
        <v>2980</v>
      </c>
      <c r="N31" t="s">
        <v>3673</v>
      </c>
    </row>
    <row r="32" spans="1:14" x14ac:dyDescent="0.3">
      <c r="A32" t="s">
        <v>2941</v>
      </c>
      <c r="B32" t="s">
        <v>2942</v>
      </c>
      <c r="C32" s="3">
        <v>14</v>
      </c>
      <c r="D32" t="s">
        <v>2943</v>
      </c>
      <c r="E32" t="s">
        <v>2944</v>
      </c>
      <c r="F32" t="s">
        <v>2945</v>
      </c>
      <c r="G32" t="s">
        <v>2946</v>
      </c>
      <c r="H32" t="s">
        <v>23</v>
      </c>
      <c r="I32" t="s">
        <v>2798</v>
      </c>
      <c r="L32" t="s">
        <v>25</v>
      </c>
      <c r="M32" t="s">
        <v>2994</v>
      </c>
      <c r="N32" t="s">
        <v>3675</v>
      </c>
    </row>
    <row r="33" spans="1:14" x14ac:dyDescent="0.3">
      <c r="A33" t="s">
        <v>2867</v>
      </c>
      <c r="B33" t="s">
        <v>2868</v>
      </c>
      <c r="C33" s="3">
        <v>8</v>
      </c>
      <c r="D33" t="s">
        <v>2869</v>
      </c>
      <c r="E33" t="s">
        <v>2870</v>
      </c>
      <c r="F33" t="s">
        <v>264</v>
      </c>
      <c r="G33" t="s">
        <v>265</v>
      </c>
      <c r="H33" t="s">
        <v>32</v>
      </c>
      <c r="I33" t="s">
        <v>2798</v>
      </c>
      <c r="J33" t="s">
        <v>2871</v>
      </c>
      <c r="L33" t="s">
        <v>25</v>
      </c>
      <c r="M33" t="s">
        <v>2982</v>
      </c>
      <c r="N33" t="s">
        <v>3675</v>
      </c>
    </row>
  </sheetData>
  <sortState xmlns:xlrd2="http://schemas.microsoft.com/office/spreadsheetml/2017/richdata2" ref="A2:N33">
    <sortCondition descending="1" ref="C1:C33"/>
  </sortState>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B34B3-E38A-4396-AE27-0CED89F40607}">
  <sheetPr codeName="Ark15"/>
  <dimension ref="A1:N28"/>
  <sheetViews>
    <sheetView workbookViewId="0">
      <selection activeCell="D1" sqref="D1"/>
    </sheetView>
  </sheetViews>
  <sheetFormatPr defaultRowHeight="14.4" x14ac:dyDescent="0.3"/>
  <cols>
    <col min="3" max="3" width="9.109375" style="3"/>
  </cols>
  <sheetData>
    <row r="1" spans="1:14" x14ac:dyDescent="0.3">
      <c r="A1" s="10" t="s">
        <v>9</v>
      </c>
      <c r="B1" s="10" t="s">
        <v>0</v>
      </c>
      <c r="C1" s="11" t="s">
        <v>732</v>
      </c>
      <c r="D1" s="10" t="s">
        <v>1</v>
      </c>
      <c r="E1" s="10" t="s">
        <v>2</v>
      </c>
      <c r="F1" s="10" t="s">
        <v>3</v>
      </c>
      <c r="G1" s="10" t="s">
        <v>4</v>
      </c>
      <c r="H1" s="10" t="s">
        <v>10</v>
      </c>
      <c r="I1" s="10" t="s">
        <v>5</v>
      </c>
      <c r="J1" s="10" t="s">
        <v>6</v>
      </c>
      <c r="K1" s="10" t="s">
        <v>7</v>
      </c>
      <c r="L1" s="10" t="s">
        <v>8</v>
      </c>
      <c r="M1" s="1" t="s">
        <v>736</v>
      </c>
      <c r="N1" s="10" t="s">
        <v>917</v>
      </c>
    </row>
    <row r="2" spans="1:14" x14ac:dyDescent="0.3">
      <c r="A2" t="s">
        <v>3110</v>
      </c>
      <c r="B2" t="s">
        <v>3111</v>
      </c>
      <c r="C2" s="3" t="s">
        <v>733</v>
      </c>
      <c r="D2" t="s">
        <v>3112</v>
      </c>
      <c r="E2" t="s">
        <v>3113</v>
      </c>
      <c r="F2" t="s">
        <v>387</v>
      </c>
      <c r="G2" t="s">
        <v>388</v>
      </c>
      <c r="H2" t="s">
        <v>23</v>
      </c>
      <c r="I2" t="s">
        <v>3006</v>
      </c>
      <c r="L2" t="s">
        <v>25</v>
      </c>
      <c r="M2" t="s">
        <v>3165</v>
      </c>
      <c r="N2" t="s">
        <v>3673</v>
      </c>
    </row>
    <row r="3" spans="1:14" x14ac:dyDescent="0.3">
      <c r="A3" t="s">
        <v>3044</v>
      </c>
      <c r="B3" t="s">
        <v>3045</v>
      </c>
      <c r="C3" s="3">
        <v>391</v>
      </c>
      <c r="D3" t="s">
        <v>3046</v>
      </c>
      <c r="E3" t="s">
        <v>3047</v>
      </c>
      <c r="F3" t="s">
        <v>214</v>
      </c>
      <c r="G3" t="s">
        <v>215</v>
      </c>
      <c r="H3" t="s">
        <v>32</v>
      </c>
      <c r="I3" t="s">
        <v>3006</v>
      </c>
      <c r="J3" t="s">
        <v>3048</v>
      </c>
      <c r="K3" t="s">
        <v>3049</v>
      </c>
      <c r="L3" t="s">
        <v>25</v>
      </c>
      <c r="M3" t="s">
        <v>3156</v>
      </c>
      <c r="N3" t="s">
        <v>3673</v>
      </c>
    </row>
    <row r="4" spans="1:14" x14ac:dyDescent="0.3">
      <c r="A4" t="s">
        <v>3093</v>
      </c>
      <c r="B4" t="s">
        <v>3094</v>
      </c>
      <c r="C4" s="3">
        <v>231</v>
      </c>
      <c r="D4" t="s">
        <v>3095</v>
      </c>
      <c r="E4" t="s">
        <v>3096</v>
      </c>
      <c r="F4" t="s">
        <v>3097</v>
      </c>
      <c r="G4" t="s">
        <v>3098</v>
      </c>
      <c r="H4" t="s">
        <v>32</v>
      </c>
      <c r="I4" t="s">
        <v>3006</v>
      </c>
      <c r="J4" t="s">
        <v>3099</v>
      </c>
      <c r="K4" t="s">
        <v>3100</v>
      </c>
      <c r="L4" t="s">
        <v>25</v>
      </c>
      <c r="M4" t="s">
        <v>3164</v>
      </c>
      <c r="N4" t="s">
        <v>3673</v>
      </c>
    </row>
    <row r="5" spans="1:14" x14ac:dyDescent="0.3">
      <c r="A5" t="s">
        <v>3028</v>
      </c>
      <c r="B5" t="s">
        <v>3029</v>
      </c>
      <c r="C5" s="3">
        <v>104</v>
      </c>
      <c r="D5" t="s">
        <v>3030</v>
      </c>
      <c r="E5" t="s">
        <v>3031</v>
      </c>
      <c r="F5" t="s">
        <v>2388</v>
      </c>
      <c r="G5" t="s">
        <v>2389</v>
      </c>
      <c r="H5" t="s">
        <v>32</v>
      </c>
      <c r="I5" t="s">
        <v>3006</v>
      </c>
      <c r="L5" t="s">
        <v>25</v>
      </c>
      <c r="M5" t="s">
        <v>3154</v>
      </c>
      <c r="N5" t="s">
        <v>831</v>
      </c>
    </row>
    <row r="6" spans="1:14" x14ac:dyDescent="0.3">
      <c r="A6" t="s">
        <v>3079</v>
      </c>
      <c r="B6" t="s">
        <v>3080</v>
      </c>
      <c r="C6" s="3">
        <v>93</v>
      </c>
      <c r="D6" t="s">
        <v>3081</v>
      </c>
      <c r="E6" t="s">
        <v>3082</v>
      </c>
      <c r="F6" t="s">
        <v>438</v>
      </c>
      <c r="G6" t="s">
        <v>439</v>
      </c>
      <c r="H6" t="s">
        <v>32</v>
      </c>
      <c r="I6" t="s">
        <v>3006</v>
      </c>
      <c r="L6" t="s">
        <v>25</v>
      </c>
      <c r="M6" t="s">
        <v>3162</v>
      </c>
      <c r="N6" t="s">
        <v>3673</v>
      </c>
    </row>
    <row r="7" spans="1:14" x14ac:dyDescent="0.3">
      <c r="A7" t="s">
        <v>3069</v>
      </c>
      <c r="B7" t="s">
        <v>2133</v>
      </c>
      <c r="C7" s="3">
        <v>89</v>
      </c>
      <c r="D7" t="s">
        <v>3070</v>
      </c>
      <c r="E7" t="s">
        <v>3071</v>
      </c>
      <c r="F7" t="s">
        <v>114</v>
      </c>
      <c r="G7" t="s">
        <v>115</v>
      </c>
      <c r="H7" t="s">
        <v>32</v>
      </c>
      <c r="I7" t="s">
        <v>3006</v>
      </c>
      <c r="J7" t="s">
        <v>3072</v>
      </c>
      <c r="L7" t="s">
        <v>25</v>
      </c>
      <c r="M7" t="s">
        <v>3145</v>
      </c>
      <c r="N7" t="s">
        <v>3673</v>
      </c>
    </row>
    <row r="8" spans="1:14" x14ac:dyDescent="0.3">
      <c r="A8" t="s">
        <v>3059</v>
      </c>
      <c r="B8" t="s">
        <v>3060</v>
      </c>
      <c r="C8" s="3">
        <v>42</v>
      </c>
      <c r="D8" t="s">
        <v>3061</v>
      </c>
      <c r="E8" t="s">
        <v>3062</v>
      </c>
      <c r="F8" t="s">
        <v>2673</v>
      </c>
      <c r="G8" t="s">
        <v>2674</v>
      </c>
      <c r="H8" t="s">
        <v>32</v>
      </c>
      <c r="I8" t="s">
        <v>3006</v>
      </c>
      <c r="J8" t="s">
        <v>3063</v>
      </c>
      <c r="L8" t="s">
        <v>25</v>
      </c>
      <c r="M8" t="s">
        <v>3159</v>
      </c>
      <c r="N8" t="s">
        <v>3673</v>
      </c>
    </row>
    <row r="9" spans="1:14" x14ac:dyDescent="0.3">
      <c r="A9" t="s">
        <v>3101</v>
      </c>
      <c r="B9" t="s">
        <v>3102</v>
      </c>
      <c r="C9" s="3">
        <v>42</v>
      </c>
      <c r="D9" t="s">
        <v>3103</v>
      </c>
      <c r="E9" t="s">
        <v>3104</v>
      </c>
      <c r="F9" t="s">
        <v>1802</v>
      </c>
      <c r="G9" t="s">
        <v>1803</v>
      </c>
      <c r="H9" t="s">
        <v>32</v>
      </c>
      <c r="I9" t="s">
        <v>3006</v>
      </c>
      <c r="J9" t="s">
        <v>3105</v>
      </c>
      <c r="L9" t="s">
        <v>25</v>
      </c>
      <c r="M9" t="s">
        <v>3147</v>
      </c>
      <c r="N9" t="s">
        <v>831</v>
      </c>
    </row>
    <row r="10" spans="1:14" x14ac:dyDescent="0.3">
      <c r="A10" t="s">
        <v>3137</v>
      </c>
      <c r="B10" t="s">
        <v>3138</v>
      </c>
      <c r="C10" s="3">
        <v>41</v>
      </c>
      <c r="D10" t="s">
        <v>3139</v>
      </c>
      <c r="E10" t="s">
        <v>3140</v>
      </c>
      <c r="F10" t="s">
        <v>2742</v>
      </c>
      <c r="G10" t="s">
        <v>2722</v>
      </c>
      <c r="H10" t="s">
        <v>32</v>
      </c>
      <c r="I10" t="s">
        <v>3006</v>
      </c>
      <c r="J10" t="s">
        <v>3141</v>
      </c>
      <c r="K10" t="s">
        <v>3142</v>
      </c>
      <c r="L10" t="s">
        <v>25</v>
      </c>
      <c r="M10" t="s">
        <v>3150</v>
      </c>
      <c r="N10" t="s">
        <v>3673</v>
      </c>
    </row>
    <row r="11" spans="1:14" x14ac:dyDescent="0.3">
      <c r="A11" t="s">
        <v>3000</v>
      </c>
      <c r="B11" t="s">
        <v>3001</v>
      </c>
      <c r="C11" s="3">
        <v>38</v>
      </c>
      <c r="D11" t="s">
        <v>3002</v>
      </c>
      <c r="E11" t="s">
        <v>3003</v>
      </c>
      <c r="F11" t="s">
        <v>3004</v>
      </c>
      <c r="G11" t="s">
        <v>3005</v>
      </c>
      <c r="H11" t="s">
        <v>32</v>
      </c>
      <c r="I11" t="s">
        <v>3006</v>
      </c>
      <c r="J11" t="s">
        <v>3007</v>
      </c>
      <c r="L11" t="s">
        <v>25</v>
      </c>
      <c r="M11" t="s">
        <v>3151</v>
      </c>
      <c r="N11" t="s">
        <v>3673</v>
      </c>
    </row>
    <row r="12" spans="1:14" x14ac:dyDescent="0.3">
      <c r="A12" t="s">
        <v>3126</v>
      </c>
      <c r="B12" t="s">
        <v>3127</v>
      </c>
      <c r="C12" s="3">
        <v>34</v>
      </c>
      <c r="D12" t="s">
        <v>3128</v>
      </c>
      <c r="E12" t="s">
        <v>3129</v>
      </c>
      <c r="F12" t="s">
        <v>3097</v>
      </c>
      <c r="G12" t="s">
        <v>3098</v>
      </c>
      <c r="H12" t="s">
        <v>23</v>
      </c>
      <c r="I12" t="s">
        <v>3006</v>
      </c>
      <c r="L12" t="s">
        <v>25</v>
      </c>
      <c r="M12" t="s">
        <v>3168</v>
      </c>
      <c r="N12" t="s">
        <v>3673</v>
      </c>
    </row>
    <row r="13" spans="1:14" x14ac:dyDescent="0.3">
      <c r="A13" t="s">
        <v>3016</v>
      </c>
      <c r="B13" t="s">
        <v>3017</v>
      </c>
      <c r="C13" s="3">
        <v>26</v>
      </c>
      <c r="D13" t="s">
        <v>3018</v>
      </c>
      <c r="E13" t="s">
        <v>3019</v>
      </c>
      <c r="F13" t="s">
        <v>3020</v>
      </c>
      <c r="G13" t="s">
        <v>3021</v>
      </c>
      <c r="H13" t="s">
        <v>32</v>
      </c>
      <c r="I13" t="s">
        <v>3006</v>
      </c>
      <c r="L13" t="s">
        <v>25</v>
      </c>
      <c r="M13" t="s">
        <v>3152</v>
      </c>
      <c r="N13" t="s">
        <v>3673</v>
      </c>
    </row>
    <row r="14" spans="1:14" x14ac:dyDescent="0.3">
      <c r="A14" t="s">
        <v>3038</v>
      </c>
      <c r="B14" t="s">
        <v>3039</v>
      </c>
      <c r="C14" s="3">
        <v>23</v>
      </c>
      <c r="D14" t="s">
        <v>3040</v>
      </c>
      <c r="E14" t="s">
        <v>3041</v>
      </c>
      <c r="F14" t="s">
        <v>2742</v>
      </c>
      <c r="G14" t="s">
        <v>2722</v>
      </c>
      <c r="H14" t="s">
        <v>32</v>
      </c>
      <c r="I14" t="s">
        <v>3006</v>
      </c>
      <c r="J14" t="s">
        <v>3042</v>
      </c>
      <c r="K14" t="s">
        <v>3043</v>
      </c>
      <c r="L14" t="s">
        <v>25</v>
      </c>
      <c r="M14" t="s">
        <v>3155</v>
      </c>
      <c r="N14" t="s">
        <v>3673</v>
      </c>
    </row>
    <row r="15" spans="1:14" x14ac:dyDescent="0.3">
      <c r="A15" t="s">
        <v>3032</v>
      </c>
      <c r="B15" t="s">
        <v>3033</v>
      </c>
      <c r="C15" s="3">
        <v>22</v>
      </c>
      <c r="D15" t="s">
        <v>3034</v>
      </c>
      <c r="E15" t="s">
        <v>3035</v>
      </c>
      <c r="F15" t="s">
        <v>1317</v>
      </c>
      <c r="G15" t="s">
        <v>1318</v>
      </c>
      <c r="H15" t="s">
        <v>32</v>
      </c>
      <c r="I15" t="s">
        <v>3006</v>
      </c>
      <c r="J15" t="s">
        <v>3036</v>
      </c>
      <c r="K15" t="s">
        <v>3037</v>
      </c>
      <c r="L15" t="s">
        <v>25</v>
      </c>
      <c r="M15" t="s">
        <v>3144</v>
      </c>
      <c r="N15" t="s">
        <v>3675</v>
      </c>
    </row>
    <row r="16" spans="1:14" x14ac:dyDescent="0.3">
      <c r="A16" t="s">
        <v>3106</v>
      </c>
      <c r="B16" t="s">
        <v>3107</v>
      </c>
      <c r="C16" s="3">
        <v>22</v>
      </c>
      <c r="D16" t="s">
        <v>3108</v>
      </c>
      <c r="E16" t="s">
        <v>3109</v>
      </c>
      <c r="F16" t="s">
        <v>93</v>
      </c>
      <c r="G16" t="s">
        <v>94</v>
      </c>
      <c r="H16" t="s">
        <v>2033</v>
      </c>
      <c r="I16" t="s">
        <v>3006</v>
      </c>
      <c r="L16" t="s">
        <v>25</v>
      </c>
      <c r="M16" t="s">
        <v>3148</v>
      </c>
      <c r="N16" t="s">
        <v>831</v>
      </c>
    </row>
    <row r="17" spans="1:14" x14ac:dyDescent="0.3">
      <c r="A17" t="s">
        <v>3022</v>
      </c>
      <c r="B17" t="s">
        <v>3023</v>
      </c>
      <c r="C17" s="3">
        <v>21</v>
      </c>
      <c r="D17" t="s">
        <v>3024</v>
      </c>
      <c r="E17" t="s">
        <v>3025</v>
      </c>
      <c r="F17" t="s">
        <v>3026</v>
      </c>
      <c r="G17" t="s">
        <v>3027</v>
      </c>
      <c r="H17" t="s">
        <v>32</v>
      </c>
      <c r="I17" t="s">
        <v>3006</v>
      </c>
      <c r="L17" t="s">
        <v>25</v>
      </c>
      <c r="M17" t="s">
        <v>3153</v>
      </c>
      <c r="N17" t="s">
        <v>831</v>
      </c>
    </row>
    <row r="18" spans="1:14" x14ac:dyDescent="0.3">
      <c r="A18" t="s">
        <v>3064</v>
      </c>
      <c r="B18" t="s">
        <v>3065</v>
      </c>
      <c r="C18" s="3">
        <v>21</v>
      </c>
      <c r="D18" t="s">
        <v>3066</v>
      </c>
      <c r="E18" t="s">
        <v>3067</v>
      </c>
      <c r="F18" t="s">
        <v>326</v>
      </c>
      <c r="G18" t="s">
        <v>327</v>
      </c>
      <c r="H18" t="s">
        <v>32</v>
      </c>
      <c r="I18" t="s">
        <v>3006</v>
      </c>
      <c r="J18" t="s">
        <v>3068</v>
      </c>
      <c r="L18" t="s">
        <v>25</v>
      </c>
      <c r="M18" t="s">
        <v>3160</v>
      </c>
      <c r="N18" t="s">
        <v>3673</v>
      </c>
    </row>
    <row r="19" spans="1:14" x14ac:dyDescent="0.3">
      <c r="A19" t="s">
        <v>3114</v>
      </c>
      <c r="B19" t="s">
        <v>3115</v>
      </c>
      <c r="C19" s="3">
        <v>21</v>
      </c>
      <c r="D19" t="s">
        <v>3116</v>
      </c>
      <c r="E19" t="s">
        <v>3117</v>
      </c>
      <c r="F19" t="s">
        <v>492</v>
      </c>
      <c r="G19" t="s">
        <v>493</v>
      </c>
      <c r="H19" t="s">
        <v>23</v>
      </c>
      <c r="I19" t="s">
        <v>3006</v>
      </c>
      <c r="J19" t="s">
        <v>3118</v>
      </c>
      <c r="K19" t="s">
        <v>3119</v>
      </c>
      <c r="L19" t="s">
        <v>25</v>
      </c>
      <c r="M19" t="s">
        <v>3166</v>
      </c>
      <c r="N19" t="s">
        <v>3675</v>
      </c>
    </row>
    <row r="20" spans="1:14" x14ac:dyDescent="0.3">
      <c r="A20" t="s">
        <v>3120</v>
      </c>
      <c r="B20" t="s">
        <v>3121</v>
      </c>
      <c r="C20" s="3">
        <v>21</v>
      </c>
      <c r="D20" t="s">
        <v>3122</v>
      </c>
      <c r="E20" t="s">
        <v>3123</v>
      </c>
      <c r="F20" t="s">
        <v>529</v>
      </c>
      <c r="G20" t="s">
        <v>530</v>
      </c>
      <c r="H20" t="s">
        <v>32</v>
      </c>
      <c r="I20" t="s">
        <v>3006</v>
      </c>
      <c r="J20" t="s">
        <v>3124</v>
      </c>
      <c r="K20" t="s">
        <v>3125</v>
      </c>
      <c r="L20" t="s">
        <v>25</v>
      </c>
      <c r="M20" t="s">
        <v>3167</v>
      </c>
      <c r="N20" t="s">
        <v>831</v>
      </c>
    </row>
    <row r="21" spans="1:14" x14ac:dyDescent="0.3">
      <c r="A21" t="s">
        <v>3130</v>
      </c>
      <c r="B21" t="s">
        <v>3131</v>
      </c>
      <c r="C21" s="3">
        <v>20</v>
      </c>
      <c r="D21" t="s">
        <v>3132</v>
      </c>
      <c r="E21" t="s">
        <v>1316</v>
      </c>
      <c r="F21" t="s">
        <v>1317</v>
      </c>
      <c r="G21" t="s">
        <v>1318</v>
      </c>
      <c r="H21" t="s">
        <v>23</v>
      </c>
      <c r="I21" t="s">
        <v>3006</v>
      </c>
      <c r="L21" t="s">
        <v>25</v>
      </c>
      <c r="M21" t="s">
        <v>3169</v>
      </c>
      <c r="N21" t="s">
        <v>3675</v>
      </c>
    </row>
    <row r="22" spans="1:14" x14ac:dyDescent="0.3">
      <c r="A22" t="s">
        <v>3050</v>
      </c>
      <c r="B22" t="s">
        <v>3051</v>
      </c>
      <c r="C22" s="3">
        <v>18</v>
      </c>
      <c r="D22" t="s">
        <v>3052</v>
      </c>
      <c r="E22" t="s">
        <v>3053</v>
      </c>
      <c r="F22" t="s">
        <v>655</v>
      </c>
      <c r="G22" t="s">
        <v>656</v>
      </c>
      <c r="H22" t="s">
        <v>32</v>
      </c>
      <c r="I22" t="s">
        <v>3006</v>
      </c>
      <c r="K22" t="s">
        <v>3054</v>
      </c>
      <c r="L22" t="s">
        <v>25</v>
      </c>
      <c r="M22" t="s">
        <v>3157</v>
      </c>
      <c r="N22" t="s">
        <v>831</v>
      </c>
    </row>
    <row r="23" spans="1:14" x14ac:dyDescent="0.3">
      <c r="A23" t="s">
        <v>3008</v>
      </c>
      <c r="B23" t="s">
        <v>3009</v>
      </c>
      <c r="C23" s="3">
        <v>17</v>
      </c>
      <c r="D23" t="s">
        <v>3010</v>
      </c>
      <c r="E23" t="s">
        <v>3011</v>
      </c>
      <c r="F23" t="s">
        <v>3012</v>
      </c>
      <c r="G23" t="s">
        <v>3013</v>
      </c>
      <c r="H23" t="s">
        <v>23</v>
      </c>
      <c r="I23" t="s">
        <v>3006</v>
      </c>
      <c r="J23" t="s">
        <v>3014</v>
      </c>
      <c r="K23" t="s">
        <v>3015</v>
      </c>
      <c r="L23" t="s">
        <v>25</v>
      </c>
      <c r="M23" t="s">
        <v>3143</v>
      </c>
      <c r="N23" t="s">
        <v>3675</v>
      </c>
    </row>
    <row r="24" spans="1:14" x14ac:dyDescent="0.3">
      <c r="A24" t="s">
        <v>3083</v>
      </c>
      <c r="B24" t="s">
        <v>3084</v>
      </c>
      <c r="C24" s="3">
        <v>13</v>
      </c>
      <c r="D24" t="s">
        <v>3085</v>
      </c>
      <c r="E24" t="s">
        <v>3086</v>
      </c>
      <c r="F24" t="s">
        <v>1506</v>
      </c>
      <c r="G24" t="s">
        <v>1507</v>
      </c>
      <c r="H24" t="s">
        <v>23</v>
      </c>
      <c r="I24" t="s">
        <v>3006</v>
      </c>
      <c r="K24" t="s">
        <v>3087</v>
      </c>
      <c r="L24" t="s">
        <v>25</v>
      </c>
      <c r="M24" t="s">
        <v>3146</v>
      </c>
      <c r="N24" t="s">
        <v>831</v>
      </c>
    </row>
    <row r="25" spans="1:14" x14ac:dyDescent="0.3">
      <c r="A25" t="s">
        <v>3055</v>
      </c>
      <c r="B25" t="s">
        <v>3056</v>
      </c>
      <c r="C25" s="3">
        <v>12</v>
      </c>
      <c r="D25" t="s">
        <v>3057</v>
      </c>
      <c r="E25" t="s">
        <v>3058</v>
      </c>
      <c r="F25" t="s">
        <v>318</v>
      </c>
      <c r="G25" t="s">
        <v>319</v>
      </c>
      <c r="H25" t="s">
        <v>23</v>
      </c>
      <c r="I25" t="s">
        <v>3006</v>
      </c>
      <c r="L25" t="s">
        <v>25</v>
      </c>
      <c r="M25" t="s">
        <v>3158</v>
      </c>
      <c r="N25" t="s">
        <v>3673</v>
      </c>
    </row>
    <row r="26" spans="1:14" x14ac:dyDescent="0.3">
      <c r="A26" t="s">
        <v>3133</v>
      </c>
      <c r="B26" t="s">
        <v>3134</v>
      </c>
      <c r="C26" s="3">
        <v>12</v>
      </c>
      <c r="D26" t="s">
        <v>3135</v>
      </c>
      <c r="E26" t="s">
        <v>3136</v>
      </c>
      <c r="F26" t="s">
        <v>1500</v>
      </c>
      <c r="G26" t="s">
        <v>1501</v>
      </c>
      <c r="H26" t="s">
        <v>23</v>
      </c>
      <c r="I26" t="s">
        <v>3006</v>
      </c>
      <c r="L26" t="s">
        <v>25</v>
      </c>
      <c r="M26" t="s">
        <v>3149</v>
      </c>
      <c r="N26" t="s">
        <v>3674</v>
      </c>
    </row>
    <row r="27" spans="1:14" x14ac:dyDescent="0.3">
      <c r="A27" t="s">
        <v>3073</v>
      </c>
      <c r="B27" t="s">
        <v>3074</v>
      </c>
      <c r="C27" s="3">
        <v>11</v>
      </c>
      <c r="D27" t="s">
        <v>3075</v>
      </c>
      <c r="E27" t="s">
        <v>3076</v>
      </c>
      <c r="F27" t="s">
        <v>3077</v>
      </c>
      <c r="G27" t="s">
        <v>3078</v>
      </c>
      <c r="H27" t="s">
        <v>32</v>
      </c>
      <c r="I27" t="s">
        <v>3006</v>
      </c>
      <c r="L27" t="s">
        <v>25</v>
      </c>
      <c r="M27" t="s">
        <v>3161</v>
      </c>
      <c r="N27" t="s">
        <v>3673</v>
      </c>
    </row>
    <row r="28" spans="1:14" x14ac:dyDescent="0.3">
      <c r="A28" t="s">
        <v>3088</v>
      </c>
      <c r="B28" t="s">
        <v>3089</v>
      </c>
      <c r="C28" s="3">
        <v>8</v>
      </c>
      <c r="D28" t="s">
        <v>3090</v>
      </c>
      <c r="E28" t="s">
        <v>3091</v>
      </c>
      <c r="F28" t="s">
        <v>179</v>
      </c>
      <c r="G28" t="s">
        <v>180</v>
      </c>
      <c r="H28" t="s">
        <v>23</v>
      </c>
      <c r="I28" t="s">
        <v>3006</v>
      </c>
      <c r="J28" t="s">
        <v>3092</v>
      </c>
      <c r="L28" t="s">
        <v>25</v>
      </c>
      <c r="M28" t="s">
        <v>3163</v>
      </c>
      <c r="N28" t="s">
        <v>3675</v>
      </c>
    </row>
  </sheetData>
  <sortState xmlns:xlrd2="http://schemas.microsoft.com/office/spreadsheetml/2017/richdata2" ref="A2:N28">
    <sortCondition descending="1" ref="C1:C28"/>
  </sortState>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B95E3-7D3E-43B2-8D62-CB01A2F656D7}">
  <sheetPr codeName="Ark16"/>
  <dimension ref="A1:N11"/>
  <sheetViews>
    <sheetView workbookViewId="0">
      <selection activeCell="C1" sqref="C1:C1048576"/>
    </sheetView>
  </sheetViews>
  <sheetFormatPr defaultRowHeight="14.4" x14ac:dyDescent="0.3"/>
  <cols>
    <col min="3" max="3" width="9.109375" style="3"/>
  </cols>
  <sheetData>
    <row r="1" spans="1:14" x14ac:dyDescent="0.3">
      <c r="A1" s="10" t="s">
        <v>9</v>
      </c>
      <c r="B1" s="10" t="s">
        <v>0</v>
      </c>
      <c r="C1" s="11" t="s">
        <v>732</v>
      </c>
      <c r="D1" s="10" t="s">
        <v>1</v>
      </c>
      <c r="E1" s="10" t="s">
        <v>2</v>
      </c>
      <c r="F1" s="10" t="s">
        <v>3</v>
      </c>
      <c r="G1" s="10" t="s">
        <v>4</v>
      </c>
      <c r="H1" s="10" t="s">
        <v>10</v>
      </c>
      <c r="I1" s="10" t="s">
        <v>5</v>
      </c>
      <c r="J1" s="10" t="s">
        <v>6</v>
      </c>
      <c r="K1" s="10" t="s">
        <v>7</v>
      </c>
      <c r="L1" s="10" t="s">
        <v>8</v>
      </c>
      <c r="M1" s="1" t="s">
        <v>736</v>
      </c>
      <c r="N1" s="10" t="s">
        <v>917</v>
      </c>
    </row>
    <row r="2" spans="1:14" x14ac:dyDescent="0.3">
      <c r="A2" t="s">
        <v>3176</v>
      </c>
      <c r="B2" t="s">
        <v>3177</v>
      </c>
      <c r="C2" s="3" t="s">
        <v>733</v>
      </c>
      <c r="D2" t="s">
        <v>3178</v>
      </c>
      <c r="E2" t="s">
        <v>3179</v>
      </c>
      <c r="F2" t="s">
        <v>3020</v>
      </c>
      <c r="G2" t="s">
        <v>3021</v>
      </c>
      <c r="H2" t="s">
        <v>32</v>
      </c>
      <c r="I2" t="s">
        <v>3174</v>
      </c>
      <c r="L2" t="s">
        <v>25</v>
      </c>
      <c r="M2" t="s">
        <v>3224</v>
      </c>
      <c r="N2" t="s">
        <v>3673</v>
      </c>
    </row>
    <row r="3" spans="1:14" x14ac:dyDescent="0.3">
      <c r="A3" t="s">
        <v>3214</v>
      </c>
      <c r="B3" t="s">
        <v>3215</v>
      </c>
      <c r="C3" s="3" t="s">
        <v>733</v>
      </c>
      <c r="D3" t="s">
        <v>3216</v>
      </c>
      <c r="E3" t="s">
        <v>291</v>
      </c>
      <c r="F3" t="s">
        <v>292</v>
      </c>
      <c r="G3" t="s">
        <v>293</v>
      </c>
      <c r="H3" t="s">
        <v>32</v>
      </c>
      <c r="I3" t="s">
        <v>3174</v>
      </c>
      <c r="L3" t="s">
        <v>25</v>
      </c>
      <c r="M3" t="s">
        <v>3153</v>
      </c>
      <c r="N3" t="s">
        <v>831</v>
      </c>
    </row>
    <row r="4" spans="1:14" x14ac:dyDescent="0.3">
      <c r="A4" t="s">
        <v>3192</v>
      </c>
      <c r="B4" t="s">
        <v>3193</v>
      </c>
      <c r="C4" s="3">
        <v>277</v>
      </c>
      <c r="D4" t="s">
        <v>3194</v>
      </c>
      <c r="E4" t="s">
        <v>3195</v>
      </c>
      <c r="F4" t="s">
        <v>1519</v>
      </c>
      <c r="G4" t="s">
        <v>1520</v>
      </c>
      <c r="H4" t="s">
        <v>3196</v>
      </c>
      <c r="I4" t="s">
        <v>3174</v>
      </c>
      <c r="J4" t="s">
        <v>3197</v>
      </c>
      <c r="K4" t="s">
        <v>3198</v>
      </c>
      <c r="L4" t="s">
        <v>25</v>
      </c>
      <c r="M4" t="s">
        <v>3227</v>
      </c>
      <c r="N4" t="s">
        <v>831</v>
      </c>
    </row>
    <row r="5" spans="1:14" x14ac:dyDescent="0.3">
      <c r="A5" t="s">
        <v>3217</v>
      </c>
      <c r="B5" t="s">
        <v>3218</v>
      </c>
      <c r="C5" s="3">
        <v>269</v>
      </c>
      <c r="D5" t="s">
        <v>3219</v>
      </c>
      <c r="E5" t="s">
        <v>3220</v>
      </c>
      <c r="F5" t="s">
        <v>3221</v>
      </c>
      <c r="G5" t="s">
        <v>3222</v>
      </c>
      <c r="H5" t="s">
        <v>3196</v>
      </c>
      <c r="I5" t="s">
        <v>3174</v>
      </c>
      <c r="J5" t="s">
        <v>3197</v>
      </c>
      <c r="L5" t="s">
        <v>25</v>
      </c>
      <c r="M5" t="s">
        <v>3231</v>
      </c>
      <c r="N5" t="s">
        <v>831</v>
      </c>
    </row>
    <row r="6" spans="1:14" x14ac:dyDescent="0.3">
      <c r="A6" t="s">
        <v>3210</v>
      </c>
      <c r="B6" t="s">
        <v>3211</v>
      </c>
      <c r="C6" s="3">
        <v>184</v>
      </c>
      <c r="D6" t="s">
        <v>3212</v>
      </c>
      <c r="E6" t="s">
        <v>3213</v>
      </c>
      <c r="F6" t="s">
        <v>2673</v>
      </c>
      <c r="G6" t="s">
        <v>2674</v>
      </c>
      <c r="H6" t="s">
        <v>3196</v>
      </c>
      <c r="I6" t="s">
        <v>3174</v>
      </c>
      <c r="J6" t="s">
        <v>3197</v>
      </c>
      <c r="L6" t="s">
        <v>25</v>
      </c>
      <c r="M6" t="s">
        <v>3230</v>
      </c>
      <c r="N6" t="s">
        <v>831</v>
      </c>
    </row>
    <row r="7" spans="1:14" x14ac:dyDescent="0.3">
      <c r="A7" t="s">
        <v>3186</v>
      </c>
      <c r="B7" t="s">
        <v>3187</v>
      </c>
      <c r="C7" s="3">
        <v>100</v>
      </c>
      <c r="D7" t="s">
        <v>3188</v>
      </c>
      <c r="E7" t="s">
        <v>3189</v>
      </c>
      <c r="F7" t="s">
        <v>3190</v>
      </c>
      <c r="G7" t="s">
        <v>3191</v>
      </c>
      <c r="H7" t="s">
        <v>32</v>
      </c>
      <c r="I7" t="s">
        <v>3174</v>
      </c>
      <c r="L7" t="s">
        <v>25</v>
      </c>
      <c r="M7" t="s">
        <v>3226</v>
      </c>
      <c r="N7" t="s">
        <v>831</v>
      </c>
    </row>
    <row r="8" spans="1:14" x14ac:dyDescent="0.3">
      <c r="A8" t="s">
        <v>3180</v>
      </c>
      <c r="B8" t="s">
        <v>3181</v>
      </c>
      <c r="C8" s="3">
        <v>30</v>
      </c>
      <c r="D8" t="s">
        <v>3182</v>
      </c>
      <c r="E8" t="s">
        <v>3183</v>
      </c>
      <c r="F8" t="s">
        <v>346</v>
      </c>
      <c r="G8" t="s">
        <v>347</v>
      </c>
      <c r="H8" t="s">
        <v>32</v>
      </c>
      <c r="I8" t="s">
        <v>3174</v>
      </c>
      <c r="J8" t="s">
        <v>3184</v>
      </c>
      <c r="K8" t="s">
        <v>3185</v>
      </c>
      <c r="L8" t="s">
        <v>25</v>
      </c>
      <c r="M8" t="s">
        <v>3225</v>
      </c>
      <c r="N8" t="s">
        <v>3675</v>
      </c>
    </row>
    <row r="9" spans="1:14" x14ac:dyDescent="0.3">
      <c r="A9" t="s">
        <v>3170</v>
      </c>
      <c r="B9" t="s">
        <v>3171</v>
      </c>
      <c r="C9" s="3">
        <v>15</v>
      </c>
      <c r="D9" t="s">
        <v>3172</v>
      </c>
      <c r="E9" t="s">
        <v>3173</v>
      </c>
      <c r="F9" t="s">
        <v>721</v>
      </c>
      <c r="G9" t="s">
        <v>722</v>
      </c>
      <c r="H9" t="s">
        <v>32</v>
      </c>
      <c r="I9" t="s">
        <v>3174</v>
      </c>
      <c r="J9" t="s">
        <v>3175</v>
      </c>
      <c r="L9" t="s">
        <v>25</v>
      </c>
      <c r="M9" t="s">
        <v>3223</v>
      </c>
      <c r="N9" t="s">
        <v>831</v>
      </c>
    </row>
    <row r="10" spans="1:14" x14ac:dyDescent="0.3">
      <c r="A10" t="s">
        <v>3199</v>
      </c>
      <c r="B10" t="s">
        <v>3200</v>
      </c>
      <c r="C10" s="3">
        <v>9</v>
      </c>
      <c r="D10" t="s">
        <v>3201</v>
      </c>
      <c r="E10" t="s">
        <v>3202</v>
      </c>
      <c r="F10" t="s">
        <v>3203</v>
      </c>
      <c r="G10" t="s">
        <v>3204</v>
      </c>
      <c r="H10" t="s">
        <v>23</v>
      </c>
      <c r="I10" t="s">
        <v>3174</v>
      </c>
      <c r="J10" t="s">
        <v>3205</v>
      </c>
      <c r="L10" t="s">
        <v>25</v>
      </c>
      <c r="M10" t="s">
        <v>3228</v>
      </c>
      <c r="N10" t="s">
        <v>3675</v>
      </c>
    </row>
    <row r="11" spans="1:14" x14ac:dyDescent="0.3">
      <c r="A11" t="s">
        <v>3206</v>
      </c>
      <c r="B11" t="s">
        <v>3207</v>
      </c>
      <c r="C11" s="3">
        <v>8</v>
      </c>
      <c r="D11" t="s">
        <v>3208</v>
      </c>
      <c r="E11" t="s">
        <v>3209</v>
      </c>
      <c r="F11" t="s">
        <v>1718</v>
      </c>
      <c r="G11" t="s">
        <v>1719</v>
      </c>
      <c r="H11" t="s">
        <v>32</v>
      </c>
      <c r="I11" t="s">
        <v>3174</v>
      </c>
      <c r="L11" t="s">
        <v>25</v>
      </c>
      <c r="M11" t="s">
        <v>3229</v>
      </c>
      <c r="N11" t="s">
        <v>831</v>
      </c>
    </row>
  </sheetData>
  <sortState xmlns:xlrd2="http://schemas.microsoft.com/office/spreadsheetml/2017/richdata2" ref="A2:N11">
    <sortCondition descending="1" ref="C1:C11"/>
  </sortState>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C50C8-B8F7-44A2-9FE5-396350BADBAE}">
  <sheetPr codeName="Ark17"/>
  <dimension ref="A1:N38"/>
  <sheetViews>
    <sheetView workbookViewId="0">
      <selection activeCell="P17" sqref="P17"/>
    </sheetView>
  </sheetViews>
  <sheetFormatPr defaultRowHeight="14.4" x14ac:dyDescent="0.3"/>
  <cols>
    <col min="3" max="3" width="9.109375" style="3"/>
    <col min="14" max="14" width="16.6640625" customWidth="1"/>
  </cols>
  <sheetData>
    <row r="1" spans="1:14" x14ac:dyDescent="0.3">
      <c r="A1" s="10" t="s">
        <v>9</v>
      </c>
      <c r="B1" s="10" t="s">
        <v>0</v>
      </c>
      <c r="C1" s="11" t="s">
        <v>732</v>
      </c>
      <c r="D1" s="10" t="s">
        <v>1</v>
      </c>
      <c r="E1" s="10" t="s">
        <v>2</v>
      </c>
      <c r="F1" s="10" t="s">
        <v>3</v>
      </c>
      <c r="G1" s="10" t="s">
        <v>4</v>
      </c>
      <c r="H1" s="10" t="s">
        <v>10</v>
      </c>
      <c r="I1" s="10" t="s">
        <v>5</v>
      </c>
      <c r="J1" s="10" t="s">
        <v>6</v>
      </c>
      <c r="K1" s="10" t="s">
        <v>7</v>
      </c>
      <c r="L1" s="10" t="s">
        <v>8</v>
      </c>
      <c r="M1" s="1" t="s">
        <v>736</v>
      </c>
      <c r="N1" s="10" t="s">
        <v>917</v>
      </c>
    </row>
    <row r="2" spans="1:14" x14ac:dyDescent="0.3">
      <c r="A2" t="s">
        <v>3279</v>
      </c>
      <c r="B2" t="s">
        <v>3280</v>
      </c>
      <c r="C2" s="3" t="s">
        <v>733</v>
      </c>
      <c r="D2" t="s">
        <v>3281</v>
      </c>
      <c r="E2" t="s">
        <v>3113</v>
      </c>
      <c r="F2" t="s">
        <v>387</v>
      </c>
      <c r="G2" t="s">
        <v>388</v>
      </c>
      <c r="H2" t="s">
        <v>3282</v>
      </c>
      <c r="I2" t="s">
        <v>3236</v>
      </c>
      <c r="L2" t="s">
        <v>25</v>
      </c>
      <c r="M2" t="s">
        <v>3451</v>
      </c>
      <c r="N2" t="s">
        <v>3673</v>
      </c>
    </row>
    <row r="3" spans="1:14" x14ac:dyDescent="0.3">
      <c r="A3" t="s">
        <v>3338</v>
      </c>
      <c r="B3" t="s">
        <v>3339</v>
      </c>
      <c r="C3" s="3" t="s">
        <v>733</v>
      </c>
      <c r="D3" t="s">
        <v>3340</v>
      </c>
      <c r="E3" t="s">
        <v>3341</v>
      </c>
      <c r="F3" t="s">
        <v>2112</v>
      </c>
      <c r="G3" t="s">
        <v>2113</v>
      </c>
      <c r="H3" t="s">
        <v>23</v>
      </c>
      <c r="I3" t="s">
        <v>3236</v>
      </c>
      <c r="L3" t="s">
        <v>25</v>
      </c>
      <c r="M3" t="s">
        <v>3462</v>
      </c>
      <c r="N3" t="s">
        <v>3673</v>
      </c>
    </row>
    <row r="4" spans="1:14" x14ac:dyDescent="0.3">
      <c r="A4" t="s">
        <v>3342</v>
      </c>
      <c r="B4" t="s">
        <v>3343</v>
      </c>
      <c r="C4" s="3">
        <v>394</v>
      </c>
      <c r="D4" t="s">
        <v>3344</v>
      </c>
      <c r="E4" t="s">
        <v>3345</v>
      </c>
      <c r="F4" t="s">
        <v>1718</v>
      </c>
      <c r="G4" t="s">
        <v>1719</v>
      </c>
      <c r="H4" t="s">
        <v>32</v>
      </c>
      <c r="I4" t="s">
        <v>3236</v>
      </c>
      <c r="J4" t="s">
        <v>3346</v>
      </c>
      <c r="L4" t="s">
        <v>25</v>
      </c>
      <c r="M4" t="s">
        <v>3463</v>
      </c>
      <c r="N4" t="s">
        <v>3673</v>
      </c>
    </row>
    <row r="5" spans="1:14" x14ac:dyDescent="0.3">
      <c r="A5" t="s">
        <v>3232</v>
      </c>
      <c r="B5" t="s">
        <v>3233</v>
      </c>
      <c r="C5" s="3">
        <v>303</v>
      </c>
      <c r="D5" t="s">
        <v>3234</v>
      </c>
      <c r="E5" t="s">
        <v>3235</v>
      </c>
      <c r="F5" t="s">
        <v>21</v>
      </c>
      <c r="G5" t="s">
        <v>22</v>
      </c>
      <c r="H5" t="s">
        <v>32</v>
      </c>
      <c r="I5" t="s">
        <v>3236</v>
      </c>
      <c r="L5" t="s">
        <v>25</v>
      </c>
      <c r="M5" t="s">
        <v>3442</v>
      </c>
      <c r="N5" t="s">
        <v>3673</v>
      </c>
    </row>
    <row r="6" spans="1:14" x14ac:dyDescent="0.3">
      <c r="A6" t="s">
        <v>3392</v>
      </c>
      <c r="B6" t="s">
        <v>3393</v>
      </c>
      <c r="C6" s="3">
        <v>285</v>
      </c>
      <c r="D6" t="s">
        <v>3394</v>
      </c>
      <c r="E6" t="s">
        <v>3395</v>
      </c>
      <c r="F6" t="s">
        <v>3396</v>
      </c>
      <c r="G6" t="s">
        <v>3397</v>
      </c>
      <c r="H6" t="s">
        <v>32</v>
      </c>
      <c r="I6" t="s">
        <v>3236</v>
      </c>
      <c r="J6" t="s">
        <v>3398</v>
      </c>
      <c r="K6" t="s">
        <v>3399</v>
      </c>
      <c r="L6" t="s">
        <v>25</v>
      </c>
      <c r="M6" t="s">
        <v>3471</v>
      </c>
      <c r="N6" t="s">
        <v>3673</v>
      </c>
    </row>
    <row r="7" spans="1:14" x14ac:dyDescent="0.3">
      <c r="A7" t="s">
        <v>3314</v>
      </c>
      <c r="B7" t="s">
        <v>2929</v>
      </c>
      <c r="C7" s="3">
        <v>267</v>
      </c>
      <c r="D7" t="s">
        <v>3315</v>
      </c>
      <c r="E7" t="s">
        <v>3316</v>
      </c>
      <c r="F7" t="s">
        <v>453</v>
      </c>
      <c r="G7" t="s">
        <v>1471</v>
      </c>
      <c r="H7" t="s">
        <v>3317</v>
      </c>
      <c r="I7" t="s">
        <v>3236</v>
      </c>
      <c r="J7" t="s">
        <v>3318</v>
      </c>
      <c r="K7" t="s">
        <v>3319</v>
      </c>
      <c r="L7" t="s">
        <v>25</v>
      </c>
      <c r="M7" t="s">
        <v>3458</v>
      </c>
      <c r="N7" t="s">
        <v>3673</v>
      </c>
    </row>
    <row r="8" spans="1:14" x14ac:dyDescent="0.3">
      <c r="A8" t="s">
        <v>3333</v>
      </c>
      <c r="B8" t="s">
        <v>3334</v>
      </c>
      <c r="C8" s="3">
        <v>241</v>
      </c>
      <c r="D8" t="s">
        <v>3335</v>
      </c>
      <c r="E8" t="s">
        <v>3336</v>
      </c>
      <c r="F8" t="s">
        <v>387</v>
      </c>
      <c r="G8" t="s">
        <v>388</v>
      </c>
      <c r="H8" t="s">
        <v>32</v>
      </c>
      <c r="I8" t="s">
        <v>3236</v>
      </c>
      <c r="J8" t="s">
        <v>3337</v>
      </c>
      <c r="L8" t="s">
        <v>25</v>
      </c>
      <c r="M8" t="s">
        <v>3461</v>
      </c>
      <c r="N8" t="s">
        <v>3673</v>
      </c>
    </row>
    <row r="9" spans="1:14" x14ac:dyDescent="0.3">
      <c r="A9" t="s">
        <v>3300</v>
      </c>
      <c r="B9" t="s">
        <v>3301</v>
      </c>
      <c r="C9" s="3">
        <v>227</v>
      </c>
      <c r="D9" t="s">
        <v>3302</v>
      </c>
      <c r="E9" t="s">
        <v>3303</v>
      </c>
      <c r="F9" t="s">
        <v>620</v>
      </c>
      <c r="G9" t="s">
        <v>621</v>
      </c>
      <c r="H9" t="s">
        <v>32</v>
      </c>
      <c r="I9" t="s">
        <v>3236</v>
      </c>
      <c r="K9" t="s">
        <v>3304</v>
      </c>
      <c r="L9" t="s">
        <v>25</v>
      </c>
      <c r="M9" t="s">
        <v>3455</v>
      </c>
      <c r="N9" t="s">
        <v>3673</v>
      </c>
    </row>
    <row r="10" spans="1:14" x14ac:dyDescent="0.3">
      <c r="A10" t="s">
        <v>3288</v>
      </c>
      <c r="B10" t="s">
        <v>3289</v>
      </c>
      <c r="C10" s="3">
        <v>196</v>
      </c>
      <c r="D10" t="s">
        <v>3290</v>
      </c>
      <c r="E10" t="s">
        <v>3291</v>
      </c>
      <c r="F10" t="s">
        <v>387</v>
      </c>
      <c r="G10" t="s">
        <v>388</v>
      </c>
      <c r="H10" t="s">
        <v>32</v>
      </c>
      <c r="I10" t="s">
        <v>3236</v>
      </c>
      <c r="J10" t="s">
        <v>3292</v>
      </c>
      <c r="K10" t="s">
        <v>3293</v>
      </c>
      <c r="L10" t="s">
        <v>25</v>
      </c>
      <c r="M10" t="s">
        <v>3453</v>
      </c>
      <c r="N10" t="s">
        <v>3673</v>
      </c>
    </row>
    <row r="11" spans="1:14" x14ac:dyDescent="0.3">
      <c r="A11" t="s">
        <v>3325</v>
      </c>
      <c r="B11" t="s">
        <v>3326</v>
      </c>
      <c r="C11" s="3">
        <v>174</v>
      </c>
      <c r="D11" t="s">
        <v>3327</v>
      </c>
      <c r="E11" t="s">
        <v>3328</v>
      </c>
      <c r="F11" t="s">
        <v>3329</v>
      </c>
      <c r="G11" t="s">
        <v>3330</v>
      </c>
      <c r="H11" t="s">
        <v>32</v>
      </c>
      <c r="I11" t="s">
        <v>3236</v>
      </c>
      <c r="J11" t="s">
        <v>3331</v>
      </c>
      <c r="K11" t="s">
        <v>3332</v>
      </c>
      <c r="L11" t="s">
        <v>25</v>
      </c>
      <c r="M11" t="s">
        <v>3460</v>
      </c>
      <c r="N11" t="s">
        <v>3673</v>
      </c>
    </row>
    <row r="12" spans="1:14" x14ac:dyDescent="0.3">
      <c r="A12" t="s">
        <v>3400</v>
      </c>
      <c r="B12" t="s">
        <v>1570</v>
      </c>
      <c r="C12" s="3">
        <v>157</v>
      </c>
      <c r="D12" t="s">
        <v>3401</v>
      </c>
      <c r="E12" t="s">
        <v>3402</v>
      </c>
      <c r="F12" t="s">
        <v>3403</v>
      </c>
      <c r="G12" t="s">
        <v>3404</v>
      </c>
      <c r="H12" t="s">
        <v>32</v>
      </c>
      <c r="I12" t="s">
        <v>3236</v>
      </c>
      <c r="J12" t="s">
        <v>3405</v>
      </c>
      <c r="K12" t="s">
        <v>3406</v>
      </c>
      <c r="L12" t="s">
        <v>25</v>
      </c>
      <c r="M12" t="s">
        <v>3472</v>
      </c>
      <c r="N12" t="s">
        <v>3673</v>
      </c>
    </row>
    <row r="13" spans="1:14" x14ac:dyDescent="0.3">
      <c r="A13" t="s">
        <v>3347</v>
      </c>
      <c r="B13" t="s">
        <v>3348</v>
      </c>
      <c r="C13" s="3">
        <v>104</v>
      </c>
      <c r="D13" t="s">
        <v>3349</v>
      </c>
      <c r="E13" t="s">
        <v>3350</v>
      </c>
      <c r="F13" t="s">
        <v>3351</v>
      </c>
      <c r="G13" t="s">
        <v>3352</v>
      </c>
      <c r="H13" t="s">
        <v>32</v>
      </c>
      <c r="I13" t="s">
        <v>3236</v>
      </c>
      <c r="J13" t="s">
        <v>3353</v>
      </c>
      <c r="K13" t="s">
        <v>3354</v>
      </c>
      <c r="L13" t="s">
        <v>25</v>
      </c>
      <c r="M13" t="s">
        <v>3464</v>
      </c>
      <c r="N13" t="s">
        <v>3673</v>
      </c>
    </row>
    <row r="14" spans="1:14" x14ac:dyDescent="0.3">
      <c r="A14" t="s">
        <v>3428</v>
      </c>
      <c r="B14" t="s">
        <v>3429</v>
      </c>
      <c r="C14" s="3">
        <v>97</v>
      </c>
      <c r="D14" t="s">
        <v>3430</v>
      </c>
      <c r="E14" t="s">
        <v>3431</v>
      </c>
      <c r="F14" t="s">
        <v>292</v>
      </c>
      <c r="G14" t="s">
        <v>293</v>
      </c>
      <c r="H14" t="s">
        <v>32</v>
      </c>
      <c r="I14" t="s">
        <v>3236</v>
      </c>
      <c r="J14" t="s">
        <v>3432</v>
      </c>
      <c r="K14" t="s">
        <v>3433</v>
      </c>
      <c r="L14" t="s">
        <v>25</v>
      </c>
      <c r="M14" t="s">
        <v>3477</v>
      </c>
      <c r="N14" t="s">
        <v>3673</v>
      </c>
    </row>
    <row r="15" spans="1:14" x14ac:dyDescent="0.3">
      <c r="A15" t="s">
        <v>3272</v>
      </c>
      <c r="B15" t="s">
        <v>3273</v>
      </c>
      <c r="C15" s="3">
        <v>92</v>
      </c>
      <c r="D15" t="s">
        <v>3274</v>
      </c>
      <c r="E15" t="s">
        <v>3275</v>
      </c>
      <c r="F15" t="s">
        <v>3276</v>
      </c>
      <c r="G15" t="s">
        <v>877</v>
      </c>
      <c r="H15" t="s">
        <v>32</v>
      </c>
      <c r="I15" t="s">
        <v>3236</v>
      </c>
      <c r="J15" t="s">
        <v>3277</v>
      </c>
      <c r="K15" t="s">
        <v>3278</v>
      </c>
      <c r="L15" t="s">
        <v>25</v>
      </c>
      <c r="M15" t="s">
        <v>3450</v>
      </c>
      <c r="N15" t="s">
        <v>3673</v>
      </c>
    </row>
    <row r="16" spans="1:14" x14ac:dyDescent="0.3">
      <c r="A16" t="s">
        <v>3379</v>
      </c>
      <c r="B16" t="s">
        <v>3380</v>
      </c>
      <c r="C16" s="3">
        <v>75</v>
      </c>
      <c r="D16" t="s">
        <v>3381</v>
      </c>
      <c r="E16" t="s">
        <v>3382</v>
      </c>
      <c r="F16" t="s">
        <v>3383</v>
      </c>
      <c r="G16" t="s">
        <v>3384</v>
      </c>
      <c r="H16" t="s">
        <v>32</v>
      </c>
      <c r="I16" t="s">
        <v>3236</v>
      </c>
      <c r="L16" t="s">
        <v>25</v>
      </c>
      <c r="M16" t="s">
        <v>3469</v>
      </c>
      <c r="N16" t="s">
        <v>3673</v>
      </c>
    </row>
    <row r="17" spans="1:14" x14ac:dyDescent="0.3">
      <c r="A17" t="s">
        <v>3424</v>
      </c>
      <c r="B17" t="s">
        <v>1570</v>
      </c>
      <c r="C17" s="3">
        <v>73</v>
      </c>
      <c r="D17" t="s">
        <v>3425</v>
      </c>
      <c r="E17" t="s">
        <v>3426</v>
      </c>
      <c r="F17" t="s">
        <v>687</v>
      </c>
      <c r="G17" t="s">
        <v>688</v>
      </c>
      <c r="H17" t="s">
        <v>32</v>
      </c>
      <c r="I17" t="s">
        <v>3236</v>
      </c>
      <c r="J17" t="s">
        <v>3427</v>
      </c>
      <c r="L17" t="s">
        <v>25</v>
      </c>
      <c r="M17" t="s">
        <v>3476</v>
      </c>
      <c r="N17" t="s">
        <v>3673</v>
      </c>
    </row>
    <row r="18" spans="1:14" x14ac:dyDescent="0.3">
      <c r="A18" t="s">
        <v>3373</v>
      </c>
      <c r="B18" t="s">
        <v>1497</v>
      </c>
      <c r="C18" s="3">
        <v>72</v>
      </c>
      <c r="D18" t="s">
        <v>3374</v>
      </c>
      <c r="E18" t="s">
        <v>3375</v>
      </c>
      <c r="F18" t="s">
        <v>3376</v>
      </c>
      <c r="G18" t="s">
        <v>877</v>
      </c>
      <c r="H18" t="s">
        <v>32</v>
      </c>
      <c r="I18" t="s">
        <v>3236</v>
      </c>
      <c r="J18" t="s">
        <v>3377</v>
      </c>
      <c r="K18" t="s">
        <v>3378</v>
      </c>
      <c r="L18" t="s">
        <v>25</v>
      </c>
      <c r="M18" t="s">
        <v>3468</v>
      </c>
      <c r="N18" t="s">
        <v>3673</v>
      </c>
    </row>
    <row r="19" spans="1:14" x14ac:dyDescent="0.3">
      <c r="A19" t="s">
        <v>3385</v>
      </c>
      <c r="B19" t="s">
        <v>3386</v>
      </c>
      <c r="C19" s="3">
        <v>65</v>
      </c>
      <c r="D19" t="s">
        <v>3387</v>
      </c>
      <c r="E19" t="s">
        <v>3388</v>
      </c>
      <c r="F19" t="s">
        <v>3389</v>
      </c>
      <c r="G19" t="s">
        <v>3390</v>
      </c>
      <c r="H19" t="s">
        <v>32</v>
      </c>
      <c r="I19" t="s">
        <v>3236</v>
      </c>
      <c r="J19" t="s">
        <v>3391</v>
      </c>
      <c r="L19" t="s">
        <v>25</v>
      </c>
      <c r="M19" t="s">
        <v>3470</v>
      </c>
      <c r="N19" t="s">
        <v>3673</v>
      </c>
    </row>
    <row r="20" spans="1:14" x14ac:dyDescent="0.3">
      <c r="A20" t="s">
        <v>3261</v>
      </c>
      <c r="B20" t="s">
        <v>275</v>
      </c>
      <c r="C20" s="3">
        <v>58</v>
      </c>
      <c r="D20" t="s">
        <v>3262</v>
      </c>
      <c r="E20" t="s">
        <v>3263</v>
      </c>
      <c r="F20" t="s">
        <v>367</v>
      </c>
      <c r="G20" t="s">
        <v>368</v>
      </c>
      <c r="H20" t="s">
        <v>32</v>
      </c>
      <c r="I20" t="s">
        <v>3236</v>
      </c>
      <c r="J20" t="s">
        <v>3264</v>
      </c>
      <c r="K20" t="s">
        <v>3265</v>
      </c>
      <c r="L20" t="s">
        <v>25</v>
      </c>
      <c r="M20" t="s">
        <v>3448</v>
      </c>
      <c r="N20" t="s">
        <v>3673</v>
      </c>
    </row>
    <row r="21" spans="1:14" x14ac:dyDescent="0.3">
      <c r="A21" t="s">
        <v>3367</v>
      </c>
      <c r="B21" t="s">
        <v>3368</v>
      </c>
      <c r="C21" s="3">
        <v>55</v>
      </c>
      <c r="D21" t="s">
        <v>3369</v>
      </c>
      <c r="E21" t="s">
        <v>3370</v>
      </c>
      <c r="F21" t="s">
        <v>249</v>
      </c>
      <c r="G21" t="s">
        <v>250</v>
      </c>
      <c r="H21" t="s">
        <v>32</v>
      </c>
      <c r="I21" t="s">
        <v>3236</v>
      </c>
      <c r="J21" t="s">
        <v>3371</v>
      </c>
      <c r="K21" t="s">
        <v>3372</v>
      </c>
      <c r="L21" t="s">
        <v>25</v>
      </c>
      <c r="M21" t="s">
        <v>3467</v>
      </c>
      <c r="N21" t="s">
        <v>3673</v>
      </c>
    </row>
    <row r="22" spans="1:14" x14ac:dyDescent="0.3">
      <c r="A22" t="s">
        <v>3355</v>
      </c>
      <c r="B22" t="s">
        <v>3356</v>
      </c>
      <c r="C22" s="3">
        <v>50</v>
      </c>
      <c r="D22" t="s">
        <v>3357</v>
      </c>
      <c r="E22" t="s">
        <v>3358</v>
      </c>
      <c r="F22" t="s">
        <v>3359</v>
      </c>
      <c r="G22" t="s">
        <v>3360</v>
      </c>
      <c r="H22" t="s">
        <v>32</v>
      </c>
      <c r="I22" t="s">
        <v>3236</v>
      </c>
      <c r="K22" t="s">
        <v>3361</v>
      </c>
      <c r="L22" t="s">
        <v>25</v>
      </c>
      <c r="M22" t="s">
        <v>3465</v>
      </c>
      <c r="N22" t="s">
        <v>3673</v>
      </c>
    </row>
    <row r="23" spans="1:14" x14ac:dyDescent="0.3">
      <c r="A23" t="s">
        <v>3320</v>
      </c>
      <c r="B23" t="s">
        <v>489</v>
      </c>
      <c r="C23" s="3">
        <v>49</v>
      </c>
      <c r="D23" t="s">
        <v>3321</v>
      </c>
      <c r="E23" t="s">
        <v>3322</v>
      </c>
      <c r="F23" t="s">
        <v>2673</v>
      </c>
      <c r="G23" t="s">
        <v>2674</v>
      </c>
      <c r="H23" t="s">
        <v>32</v>
      </c>
      <c r="I23" t="s">
        <v>3236</v>
      </c>
      <c r="J23" t="s">
        <v>3323</v>
      </c>
      <c r="K23" t="s">
        <v>3324</v>
      </c>
      <c r="L23" t="s">
        <v>25</v>
      </c>
      <c r="M23" t="s">
        <v>3459</v>
      </c>
      <c r="N23" t="s">
        <v>3673</v>
      </c>
    </row>
    <row r="24" spans="1:14" x14ac:dyDescent="0.3">
      <c r="A24" t="s">
        <v>3266</v>
      </c>
      <c r="B24" t="s">
        <v>3267</v>
      </c>
      <c r="C24" s="3">
        <v>47</v>
      </c>
      <c r="D24" t="s">
        <v>3268</v>
      </c>
      <c r="E24" t="s">
        <v>3269</v>
      </c>
      <c r="F24" t="s">
        <v>367</v>
      </c>
      <c r="G24" t="s">
        <v>368</v>
      </c>
      <c r="H24" t="s">
        <v>2033</v>
      </c>
      <c r="I24" t="s">
        <v>3236</v>
      </c>
      <c r="J24" t="s">
        <v>3270</v>
      </c>
      <c r="K24" t="s">
        <v>3271</v>
      </c>
      <c r="L24" t="s">
        <v>25</v>
      </c>
      <c r="M24" t="s">
        <v>3449</v>
      </c>
      <c r="N24" t="s">
        <v>3673</v>
      </c>
    </row>
    <row r="25" spans="1:14" x14ac:dyDescent="0.3">
      <c r="A25" t="s">
        <v>3283</v>
      </c>
      <c r="B25" t="s">
        <v>3284</v>
      </c>
      <c r="C25" s="3">
        <v>45</v>
      </c>
      <c r="D25" t="s">
        <v>3285</v>
      </c>
      <c r="E25" t="s">
        <v>3286</v>
      </c>
      <c r="F25" t="s">
        <v>640</v>
      </c>
      <c r="G25" t="s">
        <v>641</v>
      </c>
      <c r="H25" t="s">
        <v>32</v>
      </c>
      <c r="I25" t="s">
        <v>3236</v>
      </c>
      <c r="J25" t="s">
        <v>3287</v>
      </c>
      <c r="L25" t="s">
        <v>25</v>
      </c>
      <c r="M25" t="s">
        <v>3452</v>
      </c>
      <c r="N25" t="s">
        <v>3673</v>
      </c>
    </row>
    <row r="26" spans="1:14" x14ac:dyDescent="0.3">
      <c r="A26" t="s">
        <v>3434</v>
      </c>
      <c r="B26" t="s">
        <v>3435</v>
      </c>
      <c r="C26" s="3">
        <v>42</v>
      </c>
      <c r="D26" t="s">
        <v>3436</v>
      </c>
      <c r="E26" t="s">
        <v>3437</v>
      </c>
      <c r="F26" t="s">
        <v>3438</v>
      </c>
      <c r="G26" t="s">
        <v>3439</v>
      </c>
      <c r="H26" t="s">
        <v>32</v>
      </c>
      <c r="I26" t="s">
        <v>3236</v>
      </c>
      <c r="J26" t="s">
        <v>3440</v>
      </c>
      <c r="K26" t="s">
        <v>3441</v>
      </c>
      <c r="L26" t="s">
        <v>25</v>
      </c>
      <c r="M26" t="s">
        <v>3478</v>
      </c>
      <c r="N26" t="s">
        <v>3673</v>
      </c>
    </row>
    <row r="27" spans="1:14" x14ac:dyDescent="0.3">
      <c r="A27" t="s">
        <v>3253</v>
      </c>
      <c r="B27" t="s">
        <v>3254</v>
      </c>
      <c r="C27" s="3">
        <v>39</v>
      </c>
      <c r="D27" t="s">
        <v>3255</v>
      </c>
      <c r="E27" t="s">
        <v>2725</v>
      </c>
      <c r="F27" t="s">
        <v>1154</v>
      </c>
      <c r="G27" t="s">
        <v>1155</v>
      </c>
      <c r="H27" t="s">
        <v>23</v>
      </c>
      <c r="I27" t="s">
        <v>3236</v>
      </c>
      <c r="K27" t="s">
        <v>3256</v>
      </c>
      <c r="L27" t="s">
        <v>25</v>
      </c>
      <c r="M27" t="s">
        <v>3446</v>
      </c>
      <c r="N27" t="s">
        <v>3673</v>
      </c>
    </row>
    <row r="28" spans="1:14" x14ac:dyDescent="0.3">
      <c r="A28" t="s">
        <v>3247</v>
      </c>
      <c r="B28" t="s">
        <v>3248</v>
      </c>
      <c r="C28" s="3">
        <v>30</v>
      </c>
      <c r="D28" t="s">
        <v>3249</v>
      </c>
      <c r="E28" t="s">
        <v>3250</v>
      </c>
      <c r="F28" t="s">
        <v>143</v>
      </c>
      <c r="G28" t="s">
        <v>144</v>
      </c>
      <c r="H28" t="s">
        <v>32</v>
      </c>
      <c r="I28" t="s">
        <v>3236</v>
      </c>
      <c r="J28" t="s">
        <v>3251</v>
      </c>
      <c r="K28" t="s">
        <v>3252</v>
      </c>
      <c r="L28" t="s">
        <v>25</v>
      </c>
      <c r="M28" t="s">
        <v>3445</v>
      </c>
      <c r="N28" t="s">
        <v>3673</v>
      </c>
    </row>
    <row r="29" spans="1:14" x14ac:dyDescent="0.3">
      <c r="A29" t="s">
        <v>3242</v>
      </c>
      <c r="B29" t="s">
        <v>3243</v>
      </c>
      <c r="C29" s="3">
        <v>29</v>
      </c>
      <c r="D29" t="s">
        <v>3244</v>
      </c>
      <c r="E29" t="s">
        <v>3245</v>
      </c>
      <c r="F29" t="s">
        <v>1255</v>
      </c>
      <c r="G29" t="s">
        <v>1256</v>
      </c>
      <c r="H29" t="s">
        <v>32</v>
      </c>
      <c r="I29" t="s">
        <v>3236</v>
      </c>
      <c r="J29" t="s">
        <v>3246</v>
      </c>
      <c r="L29" t="s">
        <v>25</v>
      </c>
      <c r="M29" t="s">
        <v>3444</v>
      </c>
      <c r="N29" t="s">
        <v>3673</v>
      </c>
    </row>
    <row r="30" spans="1:14" x14ac:dyDescent="0.3">
      <c r="A30" t="s">
        <v>3412</v>
      </c>
      <c r="B30" t="s">
        <v>3413</v>
      </c>
      <c r="C30" s="3">
        <v>28</v>
      </c>
      <c r="D30" t="s">
        <v>3414</v>
      </c>
      <c r="E30" t="s">
        <v>3415</v>
      </c>
      <c r="F30" t="s">
        <v>3416</v>
      </c>
      <c r="G30" t="s">
        <v>3417</v>
      </c>
      <c r="H30" t="s">
        <v>32</v>
      </c>
      <c r="I30" t="s">
        <v>3236</v>
      </c>
      <c r="K30" t="s">
        <v>3418</v>
      </c>
      <c r="L30" t="s">
        <v>25</v>
      </c>
      <c r="M30" t="s">
        <v>3474</v>
      </c>
      <c r="N30" t="s">
        <v>3673</v>
      </c>
    </row>
    <row r="31" spans="1:14" x14ac:dyDescent="0.3">
      <c r="A31" t="s">
        <v>3407</v>
      </c>
      <c r="B31" t="s">
        <v>3408</v>
      </c>
      <c r="C31" s="3">
        <v>25</v>
      </c>
      <c r="D31" t="s">
        <v>3409</v>
      </c>
      <c r="E31" t="s">
        <v>3410</v>
      </c>
      <c r="F31" t="s">
        <v>334</v>
      </c>
      <c r="G31" t="s">
        <v>335</v>
      </c>
      <c r="H31" t="s">
        <v>32</v>
      </c>
      <c r="I31" t="s">
        <v>3236</v>
      </c>
      <c r="J31" t="s">
        <v>3411</v>
      </c>
      <c r="L31" t="s">
        <v>25</v>
      </c>
      <c r="M31" t="s">
        <v>3473</v>
      </c>
      <c r="N31" t="s">
        <v>3673</v>
      </c>
    </row>
    <row r="32" spans="1:14" x14ac:dyDescent="0.3">
      <c r="A32" t="s">
        <v>3305</v>
      </c>
      <c r="B32" t="s">
        <v>3306</v>
      </c>
      <c r="C32" s="3">
        <v>24</v>
      </c>
      <c r="D32" t="s">
        <v>3307</v>
      </c>
      <c r="E32" t="s">
        <v>3308</v>
      </c>
      <c r="F32" t="s">
        <v>464</v>
      </c>
      <c r="G32" t="s">
        <v>465</v>
      </c>
      <c r="H32" t="s">
        <v>3309</v>
      </c>
      <c r="I32" t="s">
        <v>3236</v>
      </c>
      <c r="L32" t="s">
        <v>25</v>
      </c>
      <c r="M32" t="s">
        <v>3456</v>
      </c>
      <c r="N32" t="s">
        <v>3673</v>
      </c>
    </row>
    <row r="33" spans="1:14" x14ac:dyDescent="0.3">
      <c r="A33" t="s">
        <v>3257</v>
      </c>
      <c r="B33" t="s">
        <v>3258</v>
      </c>
      <c r="C33" s="3">
        <v>22</v>
      </c>
      <c r="D33" t="s">
        <v>3259</v>
      </c>
      <c r="E33" t="s">
        <v>3260</v>
      </c>
      <c r="F33" t="s">
        <v>334</v>
      </c>
      <c r="G33" t="s">
        <v>335</v>
      </c>
      <c r="H33" t="s">
        <v>32</v>
      </c>
      <c r="I33" t="s">
        <v>3236</v>
      </c>
      <c r="L33" t="s">
        <v>25</v>
      </c>
      <c r="M33" t="s">
        <v>3447</v>
      </c>
      <c r="N33" t="s">
        <v>3673</v>
      </c>
    </row>
    <row r="34" spans="1:14" x14ac:dyDescent="0.3">
      <c r="A34" t="s">
        <v>3294</v>
      </c>
      <c r="B34" t="s">
        <v>3295</v>
      </c>
      <c r="C34" s="3">
        <v>20</v>
      </c>
      <c r="D34" t="s">
        <v>3296</v>
      </c>
      <c r="E34" t="s">
        <v>3297</v>
      </c>
      <c r="F34" t="s">
        <v>326</v>
      </c>
      <c r="G34" t="s">
        <v>327</v>
      </c>
      <c r="H34" t="s">
        <v>32</v>
      </c>
      <c r="I34" t="s">
        <v>3236</v>
      </c>
      <c r="J34" t="s">
        <v>3298</v>
      </c>
      <c r="K34" t="s">
        <v>3299</v>
      </c>
      <c r="L34" t="s">
        <v>25</v>
      </c>
      <c r="M34" t="s">
        <v>3454</v>
      </c>
      <c r="N34" t="s">
        <v>3673</v>
      </c>
    </row>
    <row r="35" spans="1:14" x14ac:dyDescent="0.3">
      <c r="A35" t="s">
        <v>3310</v>
      </c>
      <c r="B35" t="s">
        <v>3311</v>
      </c>
      <c r="C35" s="3">
        <v>17</v>
      </c>
      <c r="D35" t="s">
        <v>3312</v>
      </c>
      <c r="E35" t="s">
        <v>3313</v>
      </c>
      <c r="F35" t="s">
        <v>1124</v>
      </c>
      <c r="G35" t="s">
        <v>1125</v>
      </c>
      <c r="H35" t="s">
        <v>2033</v>
      </c>
      <c r="I35" t="s">
        <v>3236</v>
      </c>
      <c r="L35" t="s">
        <v>25</v>
      </c>
      <c r="M35" t="s">
        <v>3457</v>
      </c>
      <c r="N35" t="s">
        <v>3673</v>
      </c>
    </row>
    <row r="36" spans="1:14" x14ac:dyDescent="0.3">
      <c r="A36" t="s">
        <v>3419</v>
      </c>
      <c r="B36" t="s">
        <v>1276</v>
      </c>
      <c r="C36" s="3">
        <v>15</v>
      </c>
      <c r="D36" t="s">
        <v>3420</v>
      </c>
      <c r="E36" t="s">
        <v>3421</v>
      </c>
      <c r="F36" t="s">
        <v>3403</v>
      </c>
      <c r="G36" t="s">
        <v>3404</v>
      </c>
      <c r="H36" t="s">
        <v>32</v>
      </c>
      <c r="I36" t="s">
        <v>3236</v>
      </c>
      <c r="J36" t="s">
        <v>3422</v>
      </c>
      <c r="K36" t="s">
        <v>3423</v>
      </c>
      <c r="L36" t="s">
        <v>25</v>
      </c>
      <c r="M36" t="s">
        <v>3475</v>
      </c>
      <c r="N36" t="s">
        <v>3673</v>
      </c>
    </row>
    <row r="37" spans="1:14" x14ac:dyDescent="0.3">
      <c r="A37" t="s">
        <v>3237</v>
      </c>
      <c r="B37" t="s">
        <v>3238</v>
      </c>
      <c r="C37" s="3">
        <v>14</v>
      </c>
      <c r="D37" t="s">
        <v>3239</v>
      </c>
      <c r="E37" t="s">
        <v>3240</v>
      </c>
      <c r="F37" t="s">
        <v>367</v>
      </c>
      <c r="G37" t="s">
        <v>368</v>
      </c>
      <c r="H37" t="s">
        <v>32</v>
      </c>
      <c r="I37" t="s">
        <v>3236</v>
      </c>
      <c r="J37" t="s">
        <v>3241</v>
      </c>
      <c r="L37" t="s">
        <v>25</v>
      </c>
      <c r="M37" t="s">
        <v>3443</v>
      </c>
      <c r="N37" t="s">
        <v>3673</v>
      </c>
    </row>
    <row r="38" spans="1:14" x14ac:dyDescent="0.3">
      <c r="A38" t="s">
        <v>3362</v>
      </c>
      <c r="B38" t="s">
        <v>3363</v>
      </c>
      <c r="C38" s="3">
        <v>13</v>
      </c>
      <c r="D38" t="s">
        <v>3364</v>
      </c>
      <c r="E38" t="s">
        <v>3365</v>
      </c>
      <c r="F38" t="s">
        <v>3329</v>
      </c>
      <c r="G38" t="s">
        <v>3330</v>
      </c>
      <c r="H38" t="s">
        <v>32</v>
      </c>
      <c r="I38" t="s">
        <v>3236</v>
      </c>
      <c r="J38" t="s">
        <v>3366</v>
      </c>
      <c r="L38" t="s">
        <v>25</v>
      </c>
      <c r="M38" t="s">
        <v>3466</v>
      </c>
      <c r="N38" t="s">
        <v>3673</v>
      </c>
    </row>
  </sheetData>
  <sortState xmlns:xlrd2="http://schemas.microsoft.com/office/spreadsheetml/2017/richdata2" ref="A2:N38">
    <sortCondition descending="1" ref="C1:C38"/>
  </sortState>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6291A-7B36-404C-A2D9-C3800426C535}">
  <sheetPr codeName="Ark18"/>
  <dimension ref="F5:H10"/>
  <sheetViews>
    <sheetView workbookViewId="0">
      <selection activeCell="A6" sqref="A6"/>
    </sheetView>
  </sheetViews>
  <sheetFormatPr defaultRowHeight="14.4" x14ac:dyDescent="0.3"/>
  <sheetData>
    <row r="5" spans="6:8" ht="15" thickBot="1" x14ac:dyDescent="0.35"/>
    <row r="6" spans="6:8" x14ac:dyDescent="0.3">
      <c r="F6" s="16" t="s">
        <v>3479</v>
      </c>
      <c r="G6" s="17"/>
      <c r="H6" s="18"/>
    </row>
    <row r="7" spans="6:8" x14ac:dyDescent="0.3">
      <c r="F7" s="19"/>
      <c r="G7" s="20"/>
      <c r="H7" s="21"/>
    </row>
    <row r="8" spans="6:8" x14ac:dyDescent="0.3">
      <c r="F8" s="19"/>
      <c r="G8" s="20"/>
      <c r="H8" s="21"/>
    </row>
    <row r="9" spans="6:8" x14ac:dyDescent="0.3">
      <c r="F9" s="19"/>
      <c r="G9" s="20"/>
      <c r="H9" s="21"/>
    </row>
    <row r="10" spans="6:8" ht="15" thickBot="1" x14ac:dyDescent="0.35">
      <c r="F10" s="22"/>
      <c r="G10" s="23"/>
      <c r="H10" s="24"/>
    </row>
  </sheetData>
  <mergeCells count="1">
    <mergeCell ref="F6:H10"/>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1163D-B442-47D3-BD2C-86B3E37BC838}">
  <sheetPr codeName="Ark19"/>
  <dimension ref="A1:N6"/>
  <sheetViews>
    <sheetView topLeftCell="Q1" workbookViewId="0">
      <selection activeCell="J29" sqref="J29"/>
    </sheetView>
  </sheetViews>
  <sheetFormatPr defaultRowHeight="14.4" x14ac:dyDescent="0.3"/>
  <sheetData>
    <row r="1" spans="1:14" x14ac:dyDescent="0.3">
      <c r="A1" s="10" t="s">
        <v>9</v>
      </c>
      <c r="B1" s="10" t="s">
        <v>0</v>
      </c>
      <c r="C1" s="10" t="s">
        <v>732</v>
      </c>
      <c r="D1" s="10" t="s">
        <v>1</v>
      </c>
      <c r="E1" s="10" t="s">
        <v>2</v>
      </c>
      <c r="F1" s="10" t="s">
        <v>3</v>
      </c>
      <c r="G1" s="10" t="s">
        <v>4</v>
      </c>
      <c r="H1" s="10" t="s">
        <v>10</v>
      </c>
      <c r="I1" s="10" t="s">
        <v>5</v>
      </c>
      <c r="J1" s="10" t="s">
        <v>6</v>
      </c>
      <c r="K1" s="10" t="s">
        <v>7</v>
      </c>
      <c r="L1" s="10" t="s">
        <v>8</v>
      </c>
      <c r="M1" s="1" t="s">
        <v>736</v>
      </c>
      <c r="N1" s="10" t="s">
        <v>917</v>
      </c>
    </row>
    <row r="2" spans="1:14" x14ac:dyDescent="0.3">
      <c r="A2" t="s">
        <v>3496</v>
      </c>
      <c r="B2" t="s">
        <v>2231</v>
      </c>
      <c r="C2" s="3">
        <v>203</v>
      </c>
      <c r="D2" t="s">
        <v>3484</v>
      </c>
      <c r="E2" t="s">
        <v>3485</v>
      </c>
      <c r="F2" t="s">
        <v>2673</v>
      </c>
      <c r="G2" t="s">
        <v>2674</v>
      </c>
      <c r="H2" t="s">
        <v>32</v>
      </c>
      <c r="I2" t="s">
        <v>3482</v>
      </c>
      <c r="J2" t="s">
        <v>3497</v>
      </c>
      <c r="L2" t="s">
        <v>25</v>
      </c>
      <c r="M2" t="s">
        <v>3506</v>
      </c>
      <c r="N2" t="s">
        <v>3673</v>
      </c>
    </row>
    <row r="3" spans="1:14" x14ac:dyDescent="0.3">
      <c r="A3" t="s">
        <v>3498</v>
      </c>
      <c r="B3" t="s">
        <v>3499</v>
      </c>
      <c r="C3" s="3">
        <v>127</v>
      </c>
      <c r="D3" t="s">
        <v>3486</v>
      </c>
      <c r="E3" t="s">
        <v>3487</v>
      </c>
      <c r="F3" t="s">
        <v>346</v>
      </c>
      <c r="G3" t="s">
        <v>347</v>
      </c>
      <c r="H3" t="s">
        <v>2033</v>
      </c>
      <c r="I3" t="s">
        <v>3482</v>
      </c>
      <c r="L3" t="s">
        <v>25</v>
      </c>
      <c r="M3" t="s">
        <v>3507</v>
      </c>
      <c r="N3" t="s">
        <v>3673</v>
      </c>
    </row>
    <row r="4" spans="1:14" x14ac:dyDescent="0.3">
      <c r="A4" t="s">
        <v>3493</v>
      </c>
      <c r="B4" t="s">
        <v>3494</v>
      </c>
      <c r="C4" s="3">
        <v>42</v>
      </c>
      <c r="D4" t="s">
        <v>3480</v>
      </c>
      <c r="E4" t="s">
        <v>3481</v>
      </c>
      <c r="F4" t="s">
        <v>515</v>
      </c>
      <c r="G4" t="s">
        <v>516</v>
      </c>
      <c r="H4" t="s">
        <v>32</v>
      </c>
      <c r="I4" t="s">
        <v>3482</v>
      </c>
      <c r="J4" t="s">
        <v>3495</v>
      </c>
      <c r="K4" t="s">
        <v>3483</v>
      </c>
      <c r="L4" t="s">
        <v>25</v>
      </c>
      <c r="M4" t="s">
        <v>3505</v>
      </c>
      <c r="N4" t="s">
        <v>3673</v>
      </c>
    </row>
    <row r="5" spans="1:14" x14ac:dyDescent="0.3">
      <c r="A5" t="s">
        <v>3502</v>
      </c>
      <c r="B5" t="s">
        <v>3503</v>
      </c>
      <c r="C5" s="3">
        <v>24</v>
      </c>
      <c r="D5" t="s">
        <v>3490</v>
      </c>
      <c r="E5" t="s">
        <v>3491</v>
      </c>
      <c r="F5" t="s">
        <v>3403</v>
      </c>
      <c r="G5" t="s">
        <v>3404</v>
      </c>
      <c r="H5" t="s">
        <v>2033</v>
      </c>
      <c r="I5" t="s">
        <v>3482</v>
      </c>
      <c r="J5" t="s">
        <v>3504</v>
      </c>
      <c r="K5" t="s">
        <v>3492</v>
      </c>
      <c r="L5" t="s">
        <v>25</v>
      </c>
      <c r="M5" t="s">
        <v>3509</v>
      </c>
      <c r="N5" t="s">
        <v>3673</v>
      </c>
    </row>
    <row r="6" spans="1:14" x14ac:dyDescent="0.3">
      <c r="A6" t="s">
        <v>3500</v>
      </c>
      <c r="B6" t="s">
        <v>238</v>
      </c>
      <c r="C6" s="3">
        <v>18</v>
      </c>
      <c r="D6" t="s">
        <v>3488</v>
      </c>
      <c r="E6" t="s">
        <v>3489</v>
      </c>
      <c r="F6" t="s">
        <v>367</v>
      </c>
      <c r="G6" t="s">
        <v>368</v>
      </c>
      <c r="H6" t="s">
        <v>32</v>
      </c>
      <c r="I6" t="s">
        <v>3482</v>
      </c>
      <c r="J6" t="s">
        <v>3501</v>
      </c>
      <c r="L6" t="s">
        <v>25</v>
      </c>
      <c r="M6" t="s">
        <v>3508</v>
      </c>
      <c r="N6" t="s">
        <v>3673</v>
      </c>
    </row>
  </sheetData>
  <sortState xmlns:xlrd2="http://schemas.microsoft.com/office/spreadsheetml/2017/richdata2" ref="A2:N6">
    <sortCondition descending="1" ref="C1:C6"/>
  </sortSt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E45D7-FB8D-49C5-A30E-C5200334D772}">
  <sheetPr codeName="Ark20"/>
  <dimension ref="A1:N9"/>
  <sheetViews>
    <sheetView workbookViewId="0">
      <selection activeCell="O10" sqref="A1:O10"/>
    </sheetView>
  </sheetViews>
  <sheetFormatPr defaultRowHeight="14.4" x14ac:dyDescent="0.3"/>
  <sheetData>
    <row r="1" spans="1:14" x14ac:dyDescent="0.3">
      <c r="A1" s="10" t="s">
        <v>9</v>
      </c>
      <c r="B1" s="10" t="s">
        <v>0</v>
      </c>
      <c r="C1" s="10" t="s">
        <v>732</v>
      </c>
      <c r="D1" s="10" t="s">
        <v>1</v>
      </c>
      <c r="E1" s="10" t="s">
        <v>2</v>
      </c>
      <c r="F1" s="10" t="s">
        <v>3</v>
      </c>
      <c r="G1" s="10" t="s">
        <v>4</v>
      </c>
      <c r="H1" s="10" t="s">
        <v>10</v>
      </c>
      <c r="I1" s="10" t="s">
        <v>5</v>
      </c>
      <c r="J1" s="10" t="s">
        <v>6</v>
      </c>
      <c r="K1" s="10" t="s">
        <v>7</v>
      </c>
      <c r="L1" s="10" t="s">
        <v>8</v>
      </c>
      <c r="M1" s="1" t="s">
        <v>736</v>
      </c>
      <c r="N1" s="10" t="s">
        <v>917</v>
      </c>
    </row>
    <row r="2" spans="1:14" x14ac:dyDescent="0.3">
      <c r="A2" t="s">
        <v>3521</v>
      </c>
      <c r="B2" t="s">
        <v>3522</v>
      </c>
      <c r="C2" s="3" t="s">
        <v>733</v>
      </c>
      <c r="D2" t="s">
        <v>3523</v>
      </c>
      <c r="E2" t="s">
        <v>3524</v>
      </c>
      <c r="F2" t="s">
        <v>114</v>
      </c>
      <c r="G2" t="s">
        <v>115</v>
      </c>
      <c r="H2" t="s">
        <v>32</v>
      </c>
      <c r="I2" t="s">
        <v>3514</v>
      </c>
      <c r="J2" t="s">
        <v>3525</v>
      </c>
      <c r="K2" t="s">
        <v>3526</v>
      </c>
      <c r="L2" t="s">
        <v>25</v>
      </c>
      <c r="M2" t="s">
        <v>3558</v>
      </c>
      <c r="N2" t="s">
        <v>829</v>
      </c>
    </row>
    <row r="3" spans="1:14" x14ac:dyDescent="0.3">
      <c r="A3" t="s">
        <v>3534</v>
      </c>
      <c r="B3" t="s">
        <v>2014</v>
      </c>
      <c r="C3" s="3">
        <v>172</v>
      </c>
      <c r="D3" t="s">
        <v>3535</v>
      </c>
      <c r="E3" t="s">
        <v>3536</v>
      </c>
      <c r="F3" t="s">
        <v>445</v>
      </c>
      <c r="G3" t="s">
        <v>446</v>
      </c>
      <c r="H3" t="s">
        <v>32</v>
      </c>
      <c r="I3" t="s">
        <v>3514</v>
      </c>
      <c r="J3" t="s">
        <v>3537</v>
      </c>
      <c r="K3" t="s">
        <v>3538</v>
      </c>
      <c r="L3" t="s">
        <v>25</v>
      </c>
      <c r="M3" t="s">
        <v>3560</v>
      </c>
      <c r="N3" t="s">
        <v>829</v>
      </c>
    </row>
    <row r="4" spans="1:14" x14ac:dyDescent="0.3">
      <c r="A4" t="s">
        <v>3539</v>
      </c>
      <c r="B4" t="s">
        <v>3540</v>
      </c>
      <c r="C4" s="3">
        <v>150</v>
      </c>
      <c r="D4" t="s">
        <v>3541</v>
      </c>
      <c r="E4" t="s">
        <v>3542</v>
      </c>
      <c r="F4" t="s">
        <v>1519</v>
      </c>
      <c r="G4" t="s">
        <v>1520</v>
      </c>
      <c r="H4" t="s">
        <v>32</v>
      </c>
      <c r="I4" t="s">
        <v>3514</v>
      </c>
      <c r="L4" t="s">
        <v>25</v>
      </c>
      <c r="M4" t="s">
        <v>3561</v>
      </c>
      <c r="N4" t="s">
        <v>829</v>
      </c>
    </row>
    <row r="5" spans="1:14" x14ac:dyDescent="0.3">
      <c r="A5" t="s">
        <v>3543</v>
      </c>
      <c r="B5" t="s">
        <v>3544</v>
      </c>
      <c r="C5" s="3">
        <v>47</v>
      </c>
      <c r="D5" t="s">
        <v>3545</v>
      </c>
      <c r="E5" t="s">
        <v>3546</v>
      </c>
      <c r="F5" t="s">
        <v>334</v>
      </c>
      <c r="G5" t="s">
        <v>335</v>
      </c>
      <c r="H5" t="s">
        <v>23</v>
      </c>
      <c r="I5" t="s">
        <v>3514</v>
      </c>
      <c r="J5" t="s">
        <v>3547</v>
      </c>
      <c r="K5" t="s">
        <v>3548</v>
      </c>
      <c r="L5" t="s">
        <v>25</v>
      </c>
      <c r="M5" t="s">
        <v>3562</v>
      </c>
      <c r="N5" t="s">
        <v>831</v>
      </c>
    </row>
    <row r="6" spans="1:14" x14ac:dyDescent="0.3">
      <c r="A6" t="s">
        <v>3549</v>
      </c>
      <c r="B6" t="s">
        <v>3550</v>
      </c>
      <c r="C6" s="3">
        <v>42</v>
      </c>
      <c r="D6" t="s">
        <v>3551</v>
      </c>
      <c r="E6" t="s">
        <v>3552</v>
      </c>
      <c r="F6" t="s">
        <v>3553</v>
      </c>
      <c r="G6" t="s">
        <v>3554</v>
      </c>
      <c r="H6" t="s">
        <v>23</v>
      </c>
      <c r="I6" t="s">
        <v>3514</v>
      </c>
      <c r="J6" t="s">
        <v>3555</v>
      </c>
      <c r="L6" t="s">
        <v>25</v>
      </c>
      <c r="M6" t="s">
        <v>3563</v>
      </c>
      <c r="N6" t="s">
        <v>3673</v>
      </c>
    </row>
    <row r="7" spans="1:14" x14ac:dyDescent="0.3">
      <c r="A7" t="s">
        <v>3516</v>
      </c>
      <c r="B7" t="s">
        <v>3517</v>
      </c>
      <c r="C7" s="3">
        <v>41</v>
      </c>
      <c r="D7" t="s">
        <v>3518</v>
      </c>
      <c r="E7" t="s">
        <v>3519</v>
      </c>
      <c r="F7" t="s">
        <v>721</v>
      </c>
      <c r="G7" t="s">
        <v>722</v>
      </c>
      <c r="H7" t="s">
        <v>32</v>
      </c>
      <c r="I7" t="s">
        <v>3514</v>
      </c>
      <c r="J7" t="s">
        <v>3520</v>
      </c>
      <c r="L7" t="s">
        <v>25</v>
      </c>
      <c r="M7" t="s">
        <v>3557</v>
      </c>
      <c r="N7" t="s">
        <v>829</v>
      </c>
    </row>
    <row r="8" spans="1:14" x14ac:dyDescent="0.3">
      <c r="A8" t="s">
        <v>3527</v>
      </c>
      <c r="B8" t="s">
        <v>3528</v>
      </c>
      <c r="C8" s="3">
        <v>36</v>
      </c>
      <c r="D8" t="s">
        <v>3529</v>
      </c>
      <c r="E8" t="s">
        <v>3530</v>
      </c>
      <c r="F8" t="s">
        <v>3531</v>
      </c>
      <c r="G8" t="s">
        <v>1679</v>
      </c>
      <c r="H8" t="s">
        <v>32</v>
      </c>
      <c r="I8" t="s">
        <v>3514</v>
      </c>
      <c r="J8" t="s">
        <v>3532</v>
      </c>
      <c r="K8" t="s">
        <v>3533</v>
      </c>
      <c r="L8" t="s">
        <v>25</v>
      </c>
      <c r="M8" t="s">
        <v>3559</v>
      </c>
      <c r="N8" t="s">
        <v>829</v>
      </c>
    </row>
    <row r="9" spans="1:14" x14ac:dyDescent="0.3">
      <c r="A9" t="s">
        <v>3510</v>
      </c>
      <c r="B9" t="s">
        <v>3511</v>
      </c>
      <c r="C9" s="3">
        <v>21</v>
      </c>
      <c r="D9" t="s">
        <v>3512</v>
      </c>
      <c r="E9" t="s">
        <v>3513</v>
      </c>
      <c r="F9" t="s">
        <v>2937</v>
      </c>
      <c r="G9" t="s">
        <v>2938</v>
      </c>
      <c r="H9" t="s">
        <v>32</v>
      </c>
      <c r="I9" t="s">
        <v>3514</v>
      </c>
      <c r="J9" t="s">
        <v>3515</v>
      </c>
      <c r="L9" t="s">
        <v>25</v>
      </c>
      <c r="M9" t="s">
        <v>3556</v>
      </c>
      <c r="N9" t="s">
        <v>829</v>
      </c>
    </row>
  </sheetData>
  <sortState xmlns:xlrd2="http://schemas.microsoft.com/office/spreadsheetml/2017/richdata2" ref="A2:N9">
    <sortCondition descending="1" ref="C1:C9"/>
  </sortState>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C1DC3-7E81-4B58-A473-C3A51F008390}">
  <sheetPr codeName="Ark21"/>
  <dimension ref="A1:N16"/>
  <sheetViews>
    <sheetView workbookViewId="0">
      <selection activeCell="M5" sqref="M5"/>
    </sheetView>
  </sheetViews>
  <sheetFormatPr defaultRowHeight="14.4" x14ac:dyDescent="0.3"/>
  <cols>
    <col min="4" max="4" width="17.88671875" customWidth="1"/>
    <col min="9" max="9" width="20" bestFit="1" customWidth="1"/>
    <col min="10" max="10" width="9.109375" bestFit="1" customWidth="1"/>
    <col min="11" max="11" width="21.77734375" bestFit="1" customWidth="1"/>
  </cols>
  <sheetData>
    <row r="1" spans="1:14" x14ac:dyDescent="0.3">
      <c r="A1" s="10" t="s">
        <v>9</v>
      </c>
      <c r="B1" s="10" t="s">
        <v>0</v>
      </c>
      <c r="C1" s="10" t="s">
        <v>732</v>
      </c>
      <c r="D1" s="10" t="s">
        <v>1</v>
      </c>
      <c r="E1" s="10" t="s">
        <v>2</v>
      </c>
      <c r="F1" s="10" t="s">
        <v>3</v>
      </c>
      <c r="G1" s="10" t="s">
        <v>4</v>
      </c>
      <c r="H1" s="10" t="s">
        <v>10</v>
      </c>
      <c r="I1" s="10" t="s">
        <v>5</v>
      </c>
      <c r="J1" s="10" t="s">
        <v>6</v>
      </c>
      <c r="K1" s="10" t="s">
        <v>7</v>
      </c>
      <c r="L1" s="10" t="s">
        <v>8</v>
      </c>
      <c r="M1" s="1" t="s">
        <v>736</v>
      </c>
      <c r="N1" s="10" t="s">
        <v>917</v>
      </c>
    </row>
    <row r="2" spans="1:14" x14ac:dyDescent="0.3">
      <c r="A2" t="s">
        <v>3642</v>
      </c>
      <c r="B2" t="s">
        <v>3643</v>
      </c>
      <c r="C2" s="3" t="s">
        <v>733</v>
      </c>
      <c r="D2" t="s">
        <v>3644</v>
      </c>
      <c r="E2" t="s">
        <v>3645</v>
      </c>
      <c r="F2" t="s">
        <v>3646</v>
      </c>
      <c r="G2" t="s">
        <v>3647</v>
      </c>
      <c r="H2" t="s">
        <v>23</v>
      </c>
      <c r="I2" t="s">
        <v>3570</v>
      </c>
      <c r="L2" t="s">
        <v>25</v>
      </c>
      <c r="M2" t="s">
        <v>3670</v>
      </c>
      <c r="N2" t="s">
        <v>829</v>
      </c>
    </row>
    <row r="3" spans="1:14" x14ac:dyDescent="0.3">
      <c r="A3" t="s">
        <v>3617</v>
      </c>
      <c r="B3" t="s">
        <v>3618</v>
      </c>
      <c r="C3" s="3">
        <v>302</v>
      </c>
      <c r="D3" t="s">
        <v>3619</v>
      </c>
      <c r="E3" t="s">
        <v>3620</v>
      </c>
      <c r="F3" t="s">
        <v>721</v>
      </c>
      <c r="G3" t="s">
        <v>722</v>
      </c>
      <c r="H3" t="s">
        <v>32</v>
      </c>
      <c r="I3" t="s">
        <v>3570</v>
      </c>
      <c r="K3" t="s">
        <v>3621</v>
      </c>
      <c r="L3" t="s">
        <v>25</v>
      </c>
      <c r="M3" t="s">
        <v>3666</v>
      </c>
      <c r="N3" t="s">
        <v>3674</v>
      </c>
    </row>
    <row r="4" spans="1:14" x14ac:dyDescent="0.3">
      <c r="A4" t="s">
        <v>3622</v>
      </c>
      <c r="B4" t="s">
        <v>3623</v>
      </c>
      <c r="C4" s="3">
        <v>286</v>
      </c>
      <c r="D4" t="s">
        <v>3624</v>
      </c>
      <c r="E4" t="s">
        <v>3625</v>
      </c>
      <c r="F4" t="s">
        <v>1180</v>
      </c>
      <c r="G4" t="s">
        <v>1181</v>
      </c>
      <c r="H4" t="s">
        <v>32</v>
      </c>
      <c r="I4" t="s">
        <v>3570</v>
      </c>
      <c r="J4" t="s">
        <v>3626</v>
      </c>
      <c r="K4" t="s">
        <v>3627</v>
      </c>
      <c r="L4" t="s">
        <v>25</v>
      </c>
      <c r="M4" t="s">
        <v>3667</v>
      </c>
      <c r="N4" t="s">
        <v>3674</v>
      </c>
    </row>
    <row r="5" spans="1:14" x14ac:dyDescent="0.3">
      <c r="A5" t="s">
        <v>3578</v>
      </c>
      <c r="B5" t="s">
        <v>3579</v>
      </c>
      <c r="C5" s="3">
        <v>153</v>
      </c>
      <c r="D5" t="s">
        <v>3580</v>
      </c>
      <c r="E5" t="s">
        <v>3581</v>
      </c>
      <c r="F5" t="s">
        <v>3582</v>
      </c>
      <c r="G5" t="s">
        <v>3583</v>
      </c>
      <c r="H5" t="s">
        <v>32</v>
      </c>
      <c r="I5" t="s">
        <v>3570</v>
      </c>
      <c r="L5" t="s">
        <v>25</v>
      </c>
      <c r="M5" t="s">
        <v>3660</v>
      </c>
      <c r="N5" t="s">
        <v>3674</v>
      </c>
    </row>
    <row r="6" spans="1:14" x14ac:dyDescent="0.3">
      <c r="A6" t="s">
        <v>3654</v>
      </c>
      <c r="B6" t="s">
        <v>3655</v>
      </c>
      <c r="C6" s="3">
        <v>109</v>
      </c>
      <c r="D6" t="s">
        <v>3656</v>
      </c>
      <c r="E6" t="s">
        <v>3657</v>
      </c>
      <c r="F6" t="s">
        <v>346</v>
      </c>
      <c r="G6" t="s">
        <v>347</v>
      </c>
      <c r="H6" t="s">
        <v>32</v>
      </c>
      <c r="I6" t="s">
        <v>3570</v>
      </c>
      <c r="L6" t="s">
        <v>25</v>
      </c>
      <c r="M6" t="s">
        <v>3672</v>
      </c>
      <c r="N6" t="s">
        <v>3673</v>
      </c>
    </row>
    <row r="7" spans="1:14" x14ac:dyDescent="0.3">
      <c r="A7" t="s">
        <v>3634</v>
      </c>
      <c r="B7" t="s">
        <v>3635</v>
      </c>
      <c r="C7" s="3">
        <v>55</v>
      </c>
      <c r="D7" t="s">
        <v>3636</v>
      </c>
      <c r="E7" t="s">
        <v>3637</v>
      </c>
      <c r="F7" t="s">
        <v>3638</v>
      </c>
      <c r="G7" t="s">
        <v>3639</v>
      </c>
      <c r="H7" t="s">
        <v>32</v>
      </c>
      <c r="I7" t="s">
        <v>3570</v>
      </c>
      <c r="J7" t="s">
        <v>3640</v>
      </c>
      <c r="K7" t="s">
        <v>3641</v>
      </c>
      <c r="L7" t="s">
        <v>25</v>
      </c>
      <c r="M7" t="s">
        <v>3669</v>
      </c>
      <c r="N7" t="s">
        <v>3673</v>
      </c>
    </row>
    <row r="8" spans="1:14" x14ac:dyDescent="0.3">
      <c r="A8" t="s">
        <v>3572</v>
      </c>
      <c r="B8" t="s">
        <v>3573</v>
      </c>
      <c r="C8" s="3">
        <v>50</v>
      </c>
      <c r="D8" t="s">
        <v>3574</v>
      </c>
      <c r="E8" t="s">
        <v>3575</v>
      </c>
      <c r="F8" t="s">
        <v>2228</v>
      </c>
      <c r="G8" t="s">
        <v>2229</v>
      </c>
      <c r="H8" t="s">
        <v>23</v>
      </c>
      <c r="I8" t="s">
        <v>3570</v>
      </c>
      <c r="J8" t="s">
        <v>3576</v>
      </c>
      <c r="K8" t="s">
        <v>3577</v>
      </c>
      <c r="L8" t="s">
        <v>25</v>
      </c>
      <c r="M8" t="s">
        <v>3659</v>
      </c>
      <c r="N8" t="s">
        <v>3674</v>
      </c>
    </row>
    <row r="9" spans="1:14" x14ac:dyDescent="0.3">
      <c r="A9" t="s">
        <v>3612</v>
      </c>
      <c r="B9" t="s">
        <v>1007</v>
      </c>
      <c r="C9" s="3">
        <v>46</v>
      </c>
      <c r="D9" t="s">
        <v>3613</v>
      </c>
      <c r="E9" t="s">
        <v>3614</v>
      </c>
      <c r="F9" t="s">
        <v>334</v>
      </c>
      <c r="G9" t="s">
        <v>335</v>
      </c>
      <c r="H9" t="s">
        <v>32</v>
      </c>
      <c r="I9" t="s">
        <v>3570</v>
      </c>
      <c r="J9" t="s">
        <v>3615</v>
      </c>
      <c r="K9" t="s">
        <v>3616</v>
      </c>
      <c r="L9" t="s">
        <v>25</v>
      </c>
      <c r="M9" t="s">
        <v>3665</v>
      </c>
      <c r="N9" t="s">
        <v>3675</v>
      </c>
    </row>
    <row r="10" spans="1:14" x14ac:dyDescent="0.3">
      <c r="A10" t="s">
        <v>3584</v>
      </c>
      <c r="B10" t="s">
        <v>3585</v>
      </c>
      <c r="C10" s="3">
        <v>27</v>
      </c>
      <c r="D10" t="s">
        <v>3586</v>
      </c>
      <c r="E10" t="s">
        <v>3587</v>
      </c>
      <c r="F10" t="s">
        <v>648</v>
      </c>
      <c r="G10" t="s">
        <v>649</v>
      </c>
      <c r="H10" t="s">
        <v>32</v>
      </c>
      <c r="I10" t="s">
        <v>3570</v>
      </c>
      <c r="J10" t="s">
        <v>3588</v>
      </c>
      <c r="K10" t="s">
        <v>3589</v>
      </c>
      <c r="L10" t="s">
        <v>25</v>
      </c>
      <c r="M10" t="s">
        <v>3661</v>
      </c>
      <c r="N10" t="s">
        <v>3674</v>
      </c>
    </row>
    <row r="11" spans="1:14" x14ac:dyDescent="0.3">
      <c r="A11" t="s">
        <v>3596</v>
      </c>
      <c r="B11" t="s">
        <v>3597</v>
      </c>
      <c r="C11" s="3">
        <v>27</v>
      </c>
      <c r="D11" t="s">
        <v>3598</v>
      </c>
      <c r="E11" t="s">
        <v>3599</v>
      </c>
      <c r="F11" t="s">
        <v>3600</v>
      </c>
      <c r="G11" t="s">
        <v>3601</v>
      </c>
      <c r="H11" t="s">
        <v>32</v>
      </c>
      <c r="I11" t="s">
        <v>3570</v>
      </c>
      <c r="J11" t="s">
        <v>3602</v>
      </c>
      <c r="K11" t="s">
        <v>3603</v>
      </c>
      <c r="L11" t="s">
        <v>25</v>
      </c>
      <c r="M11" t="s">
        <v>3663</v>
      </c>
      <c r="N11" t="s">
        <v>3674</v>
      </c>
    </row>
    <row r="12" spans="1:14" x14ac:dyDescent="0.3">
      <c r="A12" t="s">
        <v>3564</v>
      </c>
      <c r="B12" t="s">
        <v>3565</v>
      </c>
      <c r="C12" s="3">
        <v>26</v>
      </c>
      <c r="D12" t="s">
        <v>3566</v>
      </c>
      <c r="E12" t="s">
        <v>3567</v>
      </c>
      <c r="F12" t="s">
        <v>3568</v>
      </c>
      <c r="G12" t="s">
        <v>3569</v>
      </c>
      <c r="H12" t="s">
        <v>23</v>
      </c>
      <c r="I12" t="s">
        <v>3570</v>
      </c>
      <c r="J12" t="s">
        <v>3571</v>
      </c>
      <c r="L12" t="s">
        <v>25</v>
      </c>
      <c r="M12" t="s">
        <v>3658</v>
      </c>
      <c r="N12" t="s">
        <v>3674</v>
      </c>
    </row>
    <row r="13" spans="1:14" x14ac:dyDescent="0.3">
      <c r="A13" t="s">
        <v>3648</v>
      </c>
      <c r="B13" t="s">
        <v>3649</v>
      </c>
      <c r="C13" s="3">
        <v>19</v>
      </c>
      <c r="D13" t="s">
        <v>3650</v>
      </c>
      <c r="E13" t="s">
        <v>3651</v>
      </c>
      <c r="F13" t="s">
        <v>2040</v>
      </c>
      <c r="G13" t="s">
        <v>2041</v>
      </c>
      <c r="H13" t="s">
        <v>23</v>
      </c>
      <c r="I13" t="s">
        <v>3570</v>
      </c>
      <c r="J13" t="s">
        <v>3652</v>
      </c>
      <c r="K13" t="s">
        <v>3653</v>
      </c>
      <c r="L13" t="s">
        <v>25</v>
      </c>
      <c r="M13" t="s">
        <v>3671</v>
      </c>
      <c r="N13" t="s">
        <v>3675</v>
      </c>
    </row>
    <row r="14" spans="1:14" x14ac:dyDescent="0.3">
      <c r="A14" t="s">
        <v>3590</v>
      </c>
      <c r="B14" t="s">
        <v>3591</v>
      </c>
      <c r="C14" s="3">
        <v>15</v>
      </c>
      <c r="D14" t="s">
        <v>3592</v>
      </c>
      <c r="E14" t="s">
        <v>3593</v>
      </c>
      <c r="F14" t="s">
        <v>3594</v>
      </c>
      <c r="G14" t="s">
        <v>3595</v>
      </c>
      <c r="H14" t="s">
        <v>23</v>
      </c>
      <c r="I14" t="s">
        <v>3570</v>
      </c>
      <c r="L14" t="s">
        <v>25</v>
      </c>
      <c r="M14" t="s">
        <v>3662</v>
      </c>
      <c r="N14" t="s">
        <v>3675</v>
      </c>
    </row>
    <row r="15" spans="1:14" x14ac:dyDescent="0.3">
      <c r="A15" t="s">
        <v>3628</v>
      </c>
      <c r="B15" t="s">
        <v>3629</v>
      </c>
      <c r="C15" s="3">
        <v>15</v>
      </c>
      <c r="D15" t="s">
        <v>3630</v>
      </c>
      <c r="E15" t="s">
        <v>3631</v>
      </c>
      <c r="F15" t="s">
        <v>257</v>
      </c>
      <c r="G15" t="s">
        <v>258</v>
      </c>
      <c r="H15" t="s">
        <v>32</v>
      </c>
      <c r="I15" t="s">
        <v>3570</v>
      </c>
      <c r="J15" t="s">
        <v>3632</v>
      </c>
      <c r="K15" t="s">
        <v>3633</v>
      </c>
      <c r="L15" t="s">
        <v>25</v>
      </c>
      <c r="M15" t="s">
        <v>3668</v>
      </c>
      <c r="N15" t="s">
        <v>3674</v>
      </c>
    </row>
    <row r="16" spans="1:14" x14ac:dyDescent="0.3">
      <c r="A16" t="s">
        <v>3604</v>
      </c>
      <c r="B16" t="s">
        <v>3605</v>
      </c>
      <c r="C16" s="3">
        <v>11</v>
      </c>
      <c r="D16" t="s">
        <v>3606</v>
      </c>
      <c r="E16" t="s">
        <v>3607</v>
      </c>
      <c r="F16" t="s">
        <v>3608</v>
      </c>
      <c r="G16" t="s">
        <v>3609</v>
      </c>
      <c r="H16" t="s">
        <v>32</v>
      </c>
      <c r="I16" t="s">
        <v>3570</v>
      </c>
      <c r="J16" t="s">
        <v>3610</v>
      </c>
      <c r="K16" t="s">
        <v>3611</v>
      </c>
      <c r="L16" t="s">
        <v>25</v>
      </c>
      <c r="M16" t="s">
        <v>3664</v>
      </c>
      <c r="N16" t="s">
        <v>3674</v>
      </c>
    </row>
  </sheetData>
  <sortState xmlns:xlrd2="http://schemas.microsoft.com/office/spreadsheetml/2017/richdata2" ref="A2:N16">
    <sortCondition descending="1" ref="C1:C16"/>
  </sortState>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3FBC7-BC32-4D7B-A851-6D94B25D4F35}">
  <sheetPr codeName="Ark22"/>
  <dimension ref="G9:I14"/>
  <sheetViews>
    <sheetView workbookViewId="0">
      <selection activeCell="L12" sqref="L12"/>
    </sheetView>
  </sheetViews>
  <sheetFormatPr defaultRowHeight="14.4" x14ac:dyDescent="0.3"/>
  <sheetData>
    <row r="9" spans="7:9" ht="15" thickBot="1" x14ac:dyDescent="0.35"/>
    <row r="10" spans="7:9" ht="15" customHeight="1" x14ac:dyDescent="0.3">
      <c r="G10" s="16" t="s">
        <v>3479</v>
      </c>
      <c r="H10" s="17"/>
      <c r="I10" s="18"/>
    </row>
    <row r="11" spans="7:9" x14ac:dyDescent="0.3">
      <c r="G11" s="19"/>
      <c r="H11" s="20"/>
      <c r="I11" s="21"/>
    </row>
    <row r="12" spans="7:9" x14ac:dyDescent="0.3">
      <c r="G12" s="19"/>
      <c r="H12" s="20"/>
      <c r="I12" s="21"/>
    </row>
    <row r="13" spans="7:9" x14ac:dyDescent="0.3">
      <c r="G13" s="19"/>
      <c r="H13" s="20"/>
      <c r="I13" s="21"/>
    </row>
    <row r="14" spans="7:9" ht="15" thickBot="1" x14ac:dyDescent="0.35">
      <c r="G14" s="22"/>
      <c r="H14" s="23"/>
      <c r="I14" s="24"/>
    </row>
  </sheetData>
  <mergeCells count="1">
    <mergeCell ref="G10:I1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312E4-6BF2-4771-ABB7-82018F73D31E}">
  <sheetPr codeName="Ark23"/>
  <dimension ref="B3:AE26"/>
  <sheetViews>
    <sheetView workbookViewId="0">
      <selection activeCell="Q15" sqref="Q15"/>
    </sheetView>
  </sheetViews>
  <sheetFormatPr defaultRowHeight="14.4" x14ac:dyDescent="0.3"/>
  <cols>
    <col min="2" max="2" width="43.88671875" customWidth="1"/>
  </cols>
  <sheetData>
    <row r="3" spans="2:25" x14ac:dyDescent="0.3">
      <c r="B3" t="s">
        <v>3677</v>
      </c>
    </row>
    <row r="4" spans="2:25" x14ac:dyDescent="0.3">
      <c r="B4" t="s">
        <v>3678</v>
      </c>
    </row>
    <row r="5" spans="2:25" x14ac:dyDescent="0.3">
      <c r="Q5" t="s">
        <v>3689</v>
      </c>
    </row>
    <row r="6" spans="2:25" ht="45" customHeight="1" x14ac:dyDescent="0.3">
      <c r="B6" s="12" t="s">
        <v>3680</v>
      </c>
      <c r="C6" s="14" t="s">
        <v>3684</v>
      </c>
      <c r="D6" s="14"/>
      <c r="E6" s="14"/>
      <c r="F6" s="14"/>
      <c r="G6" s="14"/>
      <c r="H6" s="14"/>
      <c r="I6" s="14"/>
      <c r="J6" s="14"/>
      <c r="K6" s="14"/>
      <c r="L6" s="14"/>
      <c r="M6" s="14"/>
      <c r="N6" s="14"/>
      <c r="O6" s="14"/>
      <c r="P6" s="14"/>
      <c r="Q6" s="15" t="s">
        <v>3688</v>
      </c>
      <c r="R6" s="15"/>
      <c r="S6" s="15"/>
      <c r="T6" s="15"/>
      <c r="U6" s="15"/>
      <c r="V6" s="15"/>
      <c r="W6" s="15"/>
      <c r="X6" s="15"/>
      <c r="Y6" s="15"/>
    </row>
    <row r="7" spans="2:25" ht="35.25" customHeight="1" x14ac:dyDescent="0.3">
      <c r="B7" t="s">
        <v>3681</v>
      </c>
      <c r="C7" s="15" t="s">
        <v>3687</v>
      </c>
      <c r="D7" s="15"/>
      <c r="E7" s="15"/>
      <c r="F7" s="15"/>
      <c r="G7" s="15"/>
      <c r="H7" s="15"/>
      <c r="I7" s="15"/>
      <c r="J7" s="15"/>
      <c r="K7" s="15"/>
      <c r="L7" s="15"/>
      <c r="M7" s="15"/>
      <c r="N7" s="15"/>
      <c r="O7" s="15"/>
      <c r="P7" s="15"/>
      <c r="Q7" t="s">
        <v>3686</v>
      </c>
    </row>
    <row r="8" spans="2:25" ht="39" customHeight="1" x14ac:dyDescent="0.3">
      <c r="B8" t="s">
        <v>3683</v>
      </c>
      <c r="C8" s="15" t="s">
        <v>3691</v>
      </c>
      <c r="D8" s="15"/>
      <c r="E8" s="15"/>
      <c r="F8" s="15"/>
      <c r="G8" s="15"/>
      <c r="H8" s="15"/>
      <c r="I8" s="15"/>
      <c r="J8" s="15"/>
      <c r="K8" s="15"/>
      <c r="L8" s="15"/>
      <c r="M8" s="15"/>
      <c r="N8" s="15"/>
      <c r="O8" s="15"/>
      <c r="P8" s="15"/>
      <c r="Q8" t="s">
        <v>3690</v>
      </c>
    </row>
    <row r="14" spans="2:25" x14ac:dyDescent="0.3">
      <c r="B14" t="s">
        <v>3692</v>
      </c>
    </row>
    <row r="15" spans="2:25" x14ac:dyDescent="0.3">
      <c r="C15" t="s">
        <v>3679</v>
      </c>
      <c r="D15" t="s">
        <v>3696</v>
      </c>
      <c r="F15" t="s">
        <v>3694</v>
      </c>
      <c r="G15" t="s">
        <v>3695</v>
      </c>
      <c r="I15">
        <f>IF(F16&gt;200,0,IF(AND(F16&gt;=176,F16&lt;=200),30,IF(AND(F16&gt;=75,F16&lt;=175),40,IF(AND(F16&gt;=50,F16&lt;=74),20,0))))</f>
        <v>40</v>
      </c>
    </row>
    <row r="16" spans="2:25" x14ac:dyDescent="0.3">
      <c r="B16" t="s">
        <v>732</v>
      </c>
      <c r="C16">
        <v>40</v>
      </c>
      <c r="D16" s="13">
        <v>0.4</v>
      </c>
      <c r="F16">
        <v>82</v>
      </c>
      <c r="G16">
        <v>40</v>
      </c>
    </row>
    <row r="17" spans="2:31" x14ac:dyDescent="0.3">
      <c r="B17" t="s">
        <v>3681</v>
      </c>
      <c r="C17">
        <v>40</v>
      </c>
      <c r="D17" s="13">
        <v>0.4</v>
      </c>
      <c r="F17">
        <v>25</v>
      </c>
      <c r="R17" s="15"/>
      <c r="S17" s="15"/>
      <c r="T17" s="15"/>
      <c r="U17" s="15"/>
      <c r="V17" s="15"/>
      <c r="W17" s="15"/>
      <c r="X17" s="15"/>
      <c r="Y17" s="15"/>
      <c r="Z17" s="15"/>
      <c r="AA17" s="15"/>
      <c r="AB17" s="15"/>
      <c r="AC17" s="15"/>
      <c r="AD17" s="15"/>
      <c r="AE17" s="15"/>
    </row>
    <row r="18" spans="2:31" x14ac:dyDescent="0.3">
      <c r="B18" t="s">
        <v>3682</v>
      </c>
      <c r="C18">
        <v>20</v>
      </c>
      <c r="D18" s="13">
        <v>0.2</v>
      </c>
      <c r="F18">
        <v>20</v>
      </c>
    </row>
    <row r="19" spans="2:31" x14ac:dyDescent="0.3">
      <c r="B19" t="s">
        <v>3685</v>
      </c>
      <c r="C19">
        <f>C16+C17+C18</f>
        <v>100</v>
      </c>
      <c r="D19" s="13">
        <v>1</v>
      </c>
      <c r="F19">
        <f>SUM(F16:F18)</f>
        <v>127</v>
      </c>
      <c r="G19">
        <v>80</v>
      </c>
    </row>
    <row r="23" spans="2:31" x14ac:dyDescent="0.3">
      <c r="J23">
        <v>711290</v>
      </c>
    </row>
    <row r="26" spans="2:31" x14ac:dyDescent="0.3">
      <c r="B26" t="s">
        <v>3693</v>
      </c>
    </row>
  </sheetData>
  <mergeCells count="5">
    <mergeCell ref="C6:P6"/>
    <mergeCell ref="C8:P8"/>
    <mergeCell ref="C7:P7"/>
    <mergeCell ref="R17:AE17"/>
    <mergeCell ref="Q6:Y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25041-CA78-4CC2-B822-9076B170F21D}">
  <sheetPr codeName="Ark26"/>
  <dimension ref="A1:I504"/>
  <sheetViews>
    <sheetView tabSelected="1" topLeftCell="C1" zoomScale="114" workbookViewId="0">
      <selection activeCell="C5" sqref="C5"/>
    </sheetView>
  </sheetViews>
  <sheetFormatPr defaultRowHeight="14.4" x14ac:dyDescent="0.3"/>
  <cols>
    <col min="3" max="3" width="54.6640625" bestFit="1" customWidth="1"/>
    <col min="6" max="6" width="19" bestFit="1" customWidth="1"/>
    <col min="7" max="7" width="11.33203125" bestFit="1" customWidth="1"/>
  </cols>
  <sheetData>
    <row r="1" spans="1:9" x14ac:dyDescent="0.3">
      <c r="A1" t="s">
        <v>3697</v>
      </c>
      <c r="B1" t="s">
        <v>3698</v>
      </c>
      <c r="C1" t="s">
        <v>3701</v>
      </c>
      <c r="D1" t="s">
        <v>3704</v>
      </c>
      <c r="E1" t="s">
        <v>3699</v>
      </c>
      <c r="F1" t="s">
        <v>3700</v>
      </c>
      <c r="G1" t="s">
        <v>3702</v>
      </c>
    </row>
    <row r="2" spans="1:9" x14ac:dyDescent="0.3">
      <c r="A2">
        <v>813000</v>
      </c>
      <c r="B2">
        <v>5</v>
      </c>
      <c r="C2" t="s">
        <v>3580</v>
      </c>
      <c r="D2">
        <v>32</v>
      </c>
      <c r="E2">
        <v>40</v>
      </c>
      <c r="F2">
        <v>20</v>
      </c>
      <c r="G2">
        <f>D2+E2+F2</f>
        <v>92</v>
      </c>
    </row>
    <row r="3" spans="1:9" x14ac:dyDescent="0.3">
      <c r="A3">
        <v>431100</v>
      </c>
      <c r="B3">
        <v>6</v>
      </c>
      <c r="C3" t="s">
        <v>1285</v>
      </c>
      <c r="D3">
        <v>40</v>
      </c>
      <c r="E3">
        <v>25</v>
      </c>
      <c r="F3">
        <v>20</v>
      </c>
      <c r="G3">
        <f>D3+E3+F3</f>
        <v>85</v>
      </c>
    </row>
    <row r="4" spans="1:9" x14ac:dyDescent="0.3">
      <c r="A4">
        <v>711240</v>
      </c>
      <c r="B4">
        <v>3</v>
      </c>
      <c r="C4" t="s">
        <v>3486</v>
      </c>
      <c r="D4">
        <v>40</v>
      </c>
      <c r="E4">
        <v>25</v>
      </c>
      <c r="F4">
        <v>20</v>
      </c>
      <c r="G4">
        <f>D4+E4+F4</f>
        <v>85</v>
      </c>
    </row>
    <row r="5" spans="1:9" x14ac:dyDescent="0.3">
      <c r="A5">
        <v>431100</v>
      </c>
      <c r="B5">
        <v>7</v>
      </c>
      <c r="C5" t="s">
        <v>1309</v>
      </c>
      <c r="D5">
        <v>38</v>
      </c>
      <c r="E5">
        <v>25</v>
      </c>
      <c r="F5">
        <v>20</v>
      </c>
      <c r="G5">
        <f>D5+E5+F5</f>
        <v>83</v>
      </c>
      <c r="I5" t="s">
        <v>3703</v>
      </c>
    </row>
    <row r="6" spans="1:9" x14ac:dyDescent="0.3">
      <c r="A6">
        <v>410000</v>
      </c>
      <c r="B6">
        <v>28</v>
      </c>
      <c r="C6" t="s">
        <v>134</v>
      </c>
      <c r="D6">
        <v>34</v>
      </c>
      <c r="E6">
        <v>25</v>
      </c>
      <c r="F6">
        <v>20</v>
      </c>
      <c r="G6">
        <f>D6+E6+F6</f>
        <v>79</v>
      </c>
      <c r="I6">
        <f>COUNTIF(G:G,"&gt;65")</f>
        <v>24</v>
      </c>
    </row>
    <row r="7" spans="1:9" x14ac:dyDescent="0.3">
      <c r="A7">
        <v>813000</v>
      </c>
      <c r="B7">
        <v>6</v>
      </c>
      <c r="C7" t="s">
        <v>3656</v>
      </c>
      <c r="D7">
        <v>34</v>
      </c>
      <c r="E7">
        <v>25</v>
      </c>
      <c r="F7">
        <v>20</v>
      </c>
      <c r="G7">
        <f>D7+E7+F7</f>
        <v>79</v>
      </c>
    </row>
    <row r="8" spans="1:9" x14ac:dyDescent="0.3">
      <c r="A8">
        <v>433200</v>
      </c>
      <c r="B8">
        <v>9</v>
      </c>
      <c r="C8" t="s">
        <v>2341</v>
      </c>
      <c r="D8">
        <v>32</v>
      </c>
      <c r="E8">
        <v>25</v>
      </c>
      <c r="F8">
        <v>20</v>
      </c>
      <c r="G8">
        <f>D8+E8+F8</f>
        <v>77</v>
      </c>
    </row>
    <row r="9" spans="1:9" x14ac:dyDescent="0.3">
      <c r="A9">
        <v>711210</v>
      </c>
      <c r="B9">
        <v>13</v>
      </c>
      <c r="C9" t="s">
        <v>3349</v>
      </c>
      <c r="D9">
        <v>32</v>
      </c>
      <c r="E9">
        <v>25</v>
      </c>
      <c r="F9">
        <v>20</v>
      </c>
      <c r="G9">
        <f>D9+E9+F9</f>
        <v>77</v>
      </c>
    </row>
    <row r="10" spans="1:9" x14ac:dyDescent="0.3">
      <c r="A10">
        <v>433200</v>
      </c>
      <c r="B10">
        <v>14</v>
      </c>
      <c r="C10" t="s">
        <v>2497</v>
      </c>
      <c r="D10">
        <v>16</v>
      </c>
      <c r="E10">
        <v>40</v>
      </c>
      <c r="F10">
        <v>20</v>
      </c>
      <c r="G10">
        <f>D10+E10+F10</f>
        <v>76</v>
      </c>
    </row>
    <row r="11" spans="1:9" x14ac:dyDescent="0.3">
      <c r="A11">
        <v>422100</v>
      </c>
      <c r="B11">
        <v>8</v>
      </c>
      <c r="C11" t="s">
        <v>1136</v>
      </c>
      <c r="D11">
        <v>40</v>
      </c>
      <c r="E11">
        <v>25</v>
      </c>
      <c r="F11">
        <v>10</v>
      </c>
      <c r="G11">
        <f>D11+E11+F11</f>
        <v>75</v>
      </c>
    </row>
    <row r="12" spans="1:9" x14ac:dyDescent="0.3">
      <c r="A12">
        <v>429900</v>
      </c>
      <c r="B12">
        <v>4</v>
      </c>
      <c r="C12" t="s">
        <v>1266</v>
      </c>
      <c r="D12">
        <v>40</v>
      </c>
      <c r="E12">
        <v>25</v>
      </c>
      <c r="F12">
        <v>10</v>
      </c>
      <c r="G12">
        <f>D12+E12+F12</f>
        <v>75</v>
      </c>
    </row>
    <row r="13" spans="1:9" x14ac:dyDescent="0.3">
      <c r="A13">
        <v>432200</v>
      </c>
      <c r="B13">
        <v>9</v>
      </c>
      <c r="C13" t="s">
        <v>1652</v>
      </c>
      <c r="D13">
        <v>40</v>
      </c>
      <c r="E13">
        <v>25</v>
      </c>
      <c r="F13">
        <v>10</v>
      </c>
      <c r="G13">
        <f>D13+E13+F13</f>
        <v>75</v>
      </c>
    </row>
    <row r="14" spans="1:9" x14ac:dyDescent="0.3">
      <c r="A14">
        <v>433200</v>
      </c>
      <c r="B14">
        <v>15</v>
      </c>
      <c r="C14" t="s">
        <v>2313</v>
      </c>
      <c r="D14">
        <v>15</v>
      </c>
      <c r="E14">
        <v>40</v>
      </c>
      <c r="F14">
        <v>20</v>
      </c>
      <c r="G14">
        <f>D14+E14+F14</f>
        <v>75</v>
      </c>
    </row>
    <row r="15" spans="1:9" x14ac:dyDescent="0.3">
      <c r="A15">
        <v>711210</v>
      </c>
      <c r="B15">
        <v>12</v>
      </c>
      <c r="C15" t="s">
        <v>3401</v>
      </c>
      <c r="D15">
        <v>30</v>
      </c>
      <c r="E15">
        <v>25</v>
      </c>
      <c r="F15">
        <v>20</v>
      </c>
      <c r="G15">
        <f>D15+E15+F15</f>
        <v>75</v>
      </c>
    </row>
    <row r="16" spans="1:9" x14ac:dyDescent="0.3">
      <c r="A16">
        <v>433200</v>
      </c>
      <c r="B16">
        <v>16</v>
      </c>
      <c r="C16" t="s">
        <v>1985</v>
      </c>
      <c r="D16">
        <v>14</v>
      </c>
      <c r="E16">
        <v>40</v>
      </c>
      <c r="F16">
        <v>20</v>
      </c>
      <c r="G16">
        <f>D16+E16+F16</f>
        <v>74</v>
      </c>
    </row>
    <row r="17" spans="1:7" x14ac:dyDescent="0.3">
      <c r="A17">
        <v>434200</v>
      </c>
      <c r="B17">
        <v>6</v>
      </c>
      <c r="C17" t="s">
        <v>2726</v>
      </c>
      <c r="D17">
        <v>29</v>
      </c>
      <c r="E17">
        <v>25</v>
      </c>
      <c r="F17">
        <v>20</v>
      </c>
      <c r="G17">
        <f>D17+E17+F17</f>
        <v>74</v>
      </c>
    </row>
    <row r="18" spans="1:7" x14ac:dyDescent="0.3">
      <c r="A18">
        <v>439100</v>
      </c>
      <c r="B18">
        <v>5</v>
      </c>
      <c r="C18" t="s">
        <v>2948</v>
      </c>
      <c r="D18">
        <v>14</v>
      </c>
      <c r="E18">
        <v>40</v>
      </c>
      <c r="F18">
        <v>20</v>
      </c>
      <c r="G18">
        <f>D18+E18+F18</f>
        <v>74</v>
      </c>
    </row>
    <row r="19" spans="1:7" x14ac:dyDescent="0.3">
      <c r="A19">
        <v>711210</v>
      </c>
      <c r="B19">
        <v>14</v>
      </c>
      <c r="C19" t="s">
        <v>3430</v>
      </c>
      <c r="D19">
        <v>29</v>
      </c>
      <c r="E19">
        <v>25</v>
      </c>
      <c r="F19">
        <v>20</v>
      </c>
      <c r="G19">
        <f>D19+E19+F19</f>
        <v>74</v>
      </c>
    </row>
    <row r="20" spans="1:7" x14ac:dyDescent="0.3">
      <c r="A20">
        <v>439900</v>
      </c>
      <c r="B20">
        <v>6</v>
      </c>
      <c r="C20" t="s">
        <v>3081</v>
      </c>
      <c r="D20">
        <v>27</v>
      </c>
      <c r="E20">
        <v>25</v>
      </c>
      <c r="F20">
        <v>20</v>
      </c>
      <c r="G20">
        <f>D20+E20+F20</f>
        <v>72</v>
      </c>
    </row>
    <row r="21" spans="1:7" x14ac:dyDescent="0.3">
      <c r="A21">
        <v>711210</v>
      </c>
      <c r="B21">
        <v>15</v>
      </c>
      <c r="C21" t="s">
        <v>3274</v>
      </c>
      <c r="D21">
        <v>27</v>
      </c>
      <c r="E21">
        <v>25</v>
      </c>
      <c r="F21">
        <v>20</v>
      </c>
      <c r="G21">
        <f>D21+E21+F21</f>
        <v>72</v>
      </c>
    </row>
    <row r="22" spans="1:7" x14ac:dyDescent="0.3">
      <c r="A22">
        <v>439900</v>
      </c>
      <c r="B22">
        <v>7</v>
      </c>
      <c r="C22" t="s">
        <v>3070</v>
      </c>
      <c r="D22">
        <v>26</v>
      </c>
      <c r="E22">
        <v>25</v>
      </c>
      <c r="F22">
        <v>20</v>
      </c>
      <c r="G22">
        <f>D22+E22+F22</f>
        <v>71</v>
      </c>
    </row>
    <row r="23" spans="1:7" x14ac:dyDescent="0.3">
      <c r="A23">
        <v>813000</v>
      </c>
      <c r="B23">
        <v>8</v>
      </c>
      <c r="C23" t="s">
        <v>3574</v>
      </c>
      <c r="D23">
        <v>10</v>
      </c>
      <c r="E23">
        <v>40</v>
      </c>
      <c r="F23">
        <v>20</v>
      </c>
      <c r="G23">
        <f>D23+E23+F23</f>
        <v>70</v>
      </c>
    </row>
    <row r="24" spans="1:7" x14ac:dyDescent="0.3">
      <c r="A24">
        <v>711210</v>
      </c>
      <c r="B24">
        <v>11</v>
      </c>
      <c r="C24" t="s">
        <v>3327</v>
      </c>
      <c r="D24">
        <v>22</v>
      </c>
      <c r="E24">
        <v>25</v>
      </c>
      <c r="F24">
        <v>20</v>
      </c>
      <c r="G24">
        <f>D24+E24+F24</f>
        <v>67</v>
      </c>
    </row>
    <row r="25" spans="1:7" x14ac:dyDescent="0.3">
      <c r="A25">
        <v>410000</v>
      </c>
      <c r="B25">
        <v>31</v>
      </c>
      <c r="C25" t="s">
        <v>162</v>
      </c>
      <c r="D25">
        <v>31</v>
      </c>
      <c r="E25">
        <v>25</v>
      </c>
      <c r="F25">
        <v>10</v>
      </c>
      <c r="G25">
        <f>D25+E25+F25</f>
        <v>66</v>
      </c>
    </row>
    <row r="26" spans="1:7" x14ac:dyDescent="0.3">
      <c r="A26">
        <v>432200</v>
      </c>
      <c r="B26">
        <v>8</v>
      </c>
      <c r="C26" t="s">
        <v>1498</v>
      </c>
      <c r="D26">
        <v>20</v>
      </c>
      <c r="E26">
        <v>25</v>
      </c>
      <c r="F26">
        <v>20</v>
      </c>
      <c r="G26">
        <f>D26+E26+F26</f>
        <v>65</v>
      </c>
    </row>
    <row r="27" spans="1:7" x14ac:dyDescent="0.3">
      <c r="A27">
        <v>711210</v>
      </c>
      <c r="B27">
        <v>16</v>
      </c>
      <c r="C27" t="s">
        <v>3381</v>
      </c>
      <c r="D27">
        <v>20</v>
      </c>
      <c r="E27">
        <v>25</v>
      </c>
      <c r="F27">
        <v>20</v>
      </c>
      <c r="G27">
        <f>D27+E27+F27</f>
        <v>65</v>
      </c>
    </row>
    <row r="28" spans="1:7" x14ac:dyDescent="0.3">
      <c r="A28">
        <v>711210</v>
      </c>
      <c r="B28">
        <v>17</v>
      </c>
      <c r="C28" t="s">
        <v>3425</v>
      </c>
      <c r="D28">
        <v>19</v>
      </c>
      <c r="E28">
        <v>25</v>
      </c>
      <c r="F28">
        <v>20</v>
      </c>
      <c r="G28">
        <f>D28+E28+F28</f>
        <v>64</v>
      </c>
    </row>
    <row r="29" spans="1:7" x14ac:dyDescent="0.3">
      <c r="A29">
        <v>711210</v>
      </c>
      <c r="B29">
        <v>18</v>
      </c>
      <c r="C29" t="s">
        <v>3374</v>
      </c>
      <c r="D29">
        <v>19</v>
      </c>
      <c r="E29">
        <v>25</v>
      </c>
      <c r="F29">
        <v>20</v>
      </c>
      <c r="G29">
        <f>D29+E29+F29</f>
        <v>64</v>
      </c>
    </row>
    <row r="30" spans="1:7" x14ac:dyDescent="0.3">
      <c r="A30">
        <v>422100</v>
      </c>
      <c r="B30">
        <v>11</v>
      </c>
      <c r="C30" t="s">
        <v>1031</v>
      </c>
      <c r="D30">
        <v>28</v>
      </c>
      <c r="E30">
        <v>25</v>
      </c>
      <c r="F30">
        <v>10</v>
      </c>
      <c r="G30">
        <f>D30+E30+F30</f>
        <v>63</v>
      </c>
    </row>
    <row r="31" spans="1:7" x14ac:dyDescent="0.3">
      <c r="A31">
        <v>439100</v>
      </c>
      <c r="B31">
        <v>3</v>
      </c>
      <c r="C31" t="s">
        <v>2923</v>
      </c>
      <c r="D31">
        <v>28</v>
      </c>
      <c r="E31">
        <v>25</v>
      </c>
      <c r="F31">
        <v>10</v>
      </c>
      <c r="G31">
        <f>D31+E31+F31</f>
        <v>63</v>
      </c>
    </row>
    <row r="32" spans="1:7" x14ac:dyDescent="0.3">
      <c r="A32">
        <v>432200</v>
      </c>
      <c r="B32">
        <v>7</v>
      </c>
      <c r="C32" t="s">
        <v>1619</v>
      </c>
      <c r="D32">
        <v>16</v>
      </c>
      <c r="E32">
        <v>25</v>
      </c>
      <c r="F32">
        <v>20</v>
      </c>
      <c r="G32">
        <f>D32+E32+F32</f>
        <v>61</v>
      </c>
    </row>
    <row r="33" spans="1:7" x14ac:dyDescent="0.3">
      <c r="A33">
        <v>711210</v>
      </c>
      <c r="B33">
        <v>19</v>
      </c>
      <c r="C33" t="s">
        <v>3387</v>
      </c>
      <c r="D33">
        <v>16</v>
      </c>
      <c r="E33">
        <v>25</v>
      </c>
      <c r="F33">
        <v>20</v>
      </c>
      <c r="G33">
        <f>D33+E33+F33</f>
        <v>61</v>
      </c>
    </row>
    <row r="34" spans="1:7" x14ac:dyDescent="0.3">
      <c r="A34">
        <v>410000</v>
      </c>
      <c r="B34">
        <v>26</v>
      </c>
      <c r="C34" t="s">
        <v>671</v>
      </c>
      <c r="D34">
        <v>40</v>
      </c>
      <c r="E34">
        <v>10</v>
      </c>
      <c r="F34">
        <v>10</v>
      </c>
      <c r="G34">
        <f>D34+E34+F34</f>
        <v>60</v>
      </c>
    </row>
    <row r="35" spans="1:7" x14ac:dyDescent="0.3">
      <c r="A35">
        <v>410000</v>
      </c>
      <c r="B35">
        <v>34</v>
      </c>
      <c r="C35" t="s">
        <v>28</v>
      </c>
      <c r="D35">
        <v>25</v>
      </c>
      <c r="E35">
        <v>25</v>
      </c>
      <c r="F35">
        <v>10</v>
      </c>
      <c r="G35">
        <f>D35+E35+F35</f>
        <v>60</v>
      </c>
    </row>
    <row r="36" spans="1:7" x14ac:dyDescent="0.3">
      <c r="A36">
        <v>410000</v>
      </c>
      <c r="B36">
        <v>35</v>
      </c>
      <c r="C36" t="s">
        <v>358</v>
      </c>
      <c r="D36">
        <v>25</v>
      </c>
      <c r="E36">
        <v>25</v>
      </c>
      <c r="F36">
        <v>10</v>
      </c>
      <c r="G36">
        <f>D36+E36+F36</f>
        <v>60</v>
      </c>
    </row>
    <row r="37" spans="1:7" x14ac:dyDescent="0.3">
      <c r="A37">
        <v>432200</v>
      </c>
      <c r="B37">
        <v>12</v>
      </c>
      <c r="C37" t="s">
        <v>1727</v>
      </c>
      <c r="D37">
        <v>15</v>
      </c>
      <c r="E37">
        <v>25</v>
      </c>
      <c r="F37">
        <v>20</v>
      </c>
      <c r="G37">
        <f>D37+E37+F37</f>
        <v>60</v>
      </c>
    </row>
    <row r="38" spans="1:7" x14ac:dyDescent="0.3">
      <c r="A38">
        <v>432200</v>
      </c>
      <c r="B38">
        <v>22</v>
      </c>
      <c r="C38" t="s">
        <v>1835</v>
      </c>
      <c r="D38">
        <v>0</v>
      </c>
      <c r="E38">
        <v>40</v>
      </c>
      <c r="F38">
        <v>20</v>
      </c>
      <c r="G38">
        <f>D38+E38+F38</f>
        <v>60</v>
      </c>
    </row>
    <row r="39" spans="1:7" x14ac:dyDescent="0.3">
      <c r="A39">
        <v>432200</v>
      </c>
      <c r="B39">
        <v>63</v>
      </c>
      <c r="C39" t="s">
        <v>1579</v>
      </c>
      <c r="D39">
        <v>0</v>
      </c>
      <c r="E39">
        <v>40</v>
      </c>
      <c r="F39">
        <v>20</v>
      </c>
      <c r="G39">
        <f>D39+E39+F39</f>
        <v>60</v>
      </c>
    </row>
    <row r="40" spans="1:7" x14ac:dyDescent="0.3">
      <c r="A40">
        <v>433200</v>
      </c>
      <c r="B40">
        <v>6</v>
      </c>
      <c r="C40" t="s">
        <v>2031</v>
      </c>
      <c r="D40">
        <v>0</v>
      </c>
      <c r="E40">
        <v>40</v>
      </c>
      <c r="F40">
        <v>20</v>
      </c>
      <c r="G40">
        <f>D40+E40+F40</f>
        <v>60</v>
      </c>
    </row>
    <row r="41" spans="1:7" x14ac:dyDescent="0.3">
      <c r="A41">
        <v>433200</v>
      </c>
      <c r="B41">
        <v>10</v>
      </c>
      <c r="C41" t="s">
        <v>2424</v>
      </c>
      <c r="D41">
        <v>25</v>
      </c>
      <c r="E41">
        <v>25</v>
      </c>
      <c r="F41">
        <v>10</v>
      </c>
      <c r="G41">
        <f>D41+E41+F41</f>
        <v>60</v>
      </c>
    </row>
    <row r="42" spans="1:7" x14ac:dyDescent="0.3">
      <c r="A42">
        <v>433200</v>
      </c>
      <c r="B42">
        <v>35</v>
      </c>
      <c r="C42" t="s">
        <v>2276</v>
      </c>
      <c r="D42">
        <v>0</v>
      </c>
      <c r="E42">
        <v>40</v>
      </c>
      <c r="F42">
        <v>20</v>
      </c>
      <c r="G42">
        <f>D42+E42+F42</f>
        <v>60</v>
      </c>
    </row>
    <row r="43" spans="1:7" x14ac:dyDescent="0.3">
      <c r="A43">
        <v>433200</v>
      </c>
      <c r="B43">
        <v>43</v>
      </c>
      <c r="C43" t="s">
        <v>2151</v>
      </c>
      <c r="D43">
        <v>0</v>
      </c>
      <c r="E43">
        <v>40</v>
      </c>
      <c r="F43">
        <v>20</v>
      </c>
      <c r="G43">
        <f>D43+E43+F43</f>
        <v>60</v>
      </c>
    </row>
    <row r="44" spans="1:7" x14ac:dyDescent="0.3">
      <c r="A44">
        <v>433200</v>
      </c>
      <c r="B44">
        <v>50</v>
      </c>
      <c r="C44" t="s">
        <v>2352</v>
      </c>
      <c r="D44">
        <v>0</v>
      </c>
      <c r="E44">
        <v>40</v>
      </c>
      <c r="F44">
        <v>20</v>
      </c>
      <c r="G44">
        <f>D44+E44+F44</f>
        <v>60</v>
      </c>
    </row>
    <row r="45" spans="1:7" x14ac:dyDescent="0.3">
      <c r="A45">
        <v>433200</v>
      </c>
      <c r="B45">
        <v>51</v>
      </c>
      <c r="C45" t="s">
        <v>2187</v>
      </c>
      <c r="D45">
        <v>0</v>
      </c>
      <c r="E45">
        <v>40</v>
      </c>
      <c r="F45">
        <v>20</v>
      </c>
      <c r="G45">
        <f>D45+E45+F45</f>
        <v>60</v>
      </c>
    </row>
    <row r="46" spans="1:7" x14ac:dyDescent="0.3">
      <c r="A46">
        <v>433200</v>
      </c>
      <c r="B46">
        <v>57</v>
      </c>
      <c r="C46" t="s">
        <v>2129</v>
      </c>
      <c r="D46">
        <v>0</v>
      </c>
      <c r="E46">
        <v>40</v>
      </c>
      <c r="F46">
        <v>20</v>
      </c>
      <c r="G46">
        <f>D46+E46+F46</f>
        <v>60</v>
      </c>
    </row>
    <row r="47" spans="1:7" x14ac:dyDescent="0.3">
      <c r="A47">
        <v>433200</v>
      </c>
      <c r="B47">
        <v>73</v>
      </c>
      <c r="C47" t="s">
        <v>2076</v>
      </c>
      <c r="D47">
        <v>0</v>
      </c>
      <c r="E47">
        <v>40</v>
      </c>
      <c r="F47">
        <v>20</v>
      </c>
      <c r="G47">
        <f>D47+E47+F47</f>
        <v>60</v>
      </c>
    </row>
    <row r="48" spans="1:7" x14ac:dyDescent="0.3">
      <c r="A48">
        <v>433200</v>
      </c>
      <c r="B48">
        <v>82</v>
      </c>
      <c r="C48" t="s">
        <v>2261</v>
      </c>
      <c r="D48">
        <v>0</v>
      </c>
      <c r="E48">
        <v>40</v>
      </c>
      <c r="F48">
        <v>20</v>
      </c>
      <c r="G48">
        <f>D48+E48+F48</f>
        <v>60</v>
      </c>
    </row>
    <row r="49" spans="1:7" x14ac:dyDescent="0.3">
      <c r="A49">
        <v>433200</v>
      </c>
      <c r="B49">
        <v>96</v>
      </c>
      <c r="C49" t="s">
        <v>2330</v>
      </c>
      <c r="D49">
        <v>0</v>
      </c>
      <c r="E49">
        <v>40</v>
      </c>
      <c r="F49">
        <v>20</v>
      </c>
      <c r="G49">
        <f>D49+E49+F49</f>
        <v>60</v>
      </c>
    </row>
    <row r="50" spans="1:7" x14ac:dyDescent="0.3">
      <c r="A50">
        <v>433200</v>
      </c>
      <c r="B50">
        <v>101</v>
      </c>
      <c r="C50" t="s">
        <v>2394</v>
      </c>
      <c r="D50">
        <v>0</v>
      </c>
      <c r="E50">
        <v>40</v>
      </c>
      <c r="F50">
        <v>20</v>
      </c>
      <c r="G50">
        <f>D50+E50+F50</f>
        <v>60</v>
      </c>
    </row>
    <row r="51" spans="1:7" x14ac:dyDescent="0.3">
      <c r="A51">
        <v>433200</v>
      </c>
      <c r="B51">
        <v>107</v>
      </c>
      <c r="C51" t="s">
        <v>2038</v>
      </c>
      <c r="D51">
        <v>0</v>
      </c>
      <c r="E51">
        <v>40</v>
      </c>
      <c r="F51">
        <v>20</v>
      </c>
      <c r="G51">
        <f>D51+E51+F51</f>
        <v>60</v>
      </c>
    </row>
    <row r="52" spans="1:7" x14ac:dyDescent="0.3">
      <c r="A52">
        <v>433300</v>
      </c>
      <c r="B52">
        <v>3</v>
      </c>
      <c r="C52" t="s">
        <v>2644</v>
      </c>
      <c r="D52">
        <v>0</v>
      </c>
      <c r="E52">
        <v>40</v>
      </c>
      <c r="F52">
        <v>20</v>
      </c>
      <c r="G52">
        <f>D52+E52+F52</f>
        <v>60</v>
      </c>
    </row>
    <row r="53" spans="1:7" x14ac:dyDescent="0.3">
      <c r="A53">
        <v>433300</v>
      </c>
      <c r="B53">
        <v>5</v>
      </c>
      <c r="C53" t="s">
        <v>2616</v>
      </c>
      <c r="D53">
        <v>0</v>
      </c>
      <c r="E53">
        <v>40</v>
      </c>
      <c r="F53">
        <v>20</v>
      </c>
      <c r="G53">
        <f>D53+E53+F53</f>
        <v>60</v>
      </c>
    </row>
    <row r="54" spans="1:7" x14ac:dyDescent="0.3">
      <c r="A54">
        <v>433300</v>
      </c>
      <c r="B54">
        <v>8</v>
      </c>
      <c r="C54" t="s">
        <v>2639</v>
      </c>
      <c r="D54">
        <v>0</v>
      </c>
      <c r="E54">
        <v>40</v>
      </c>
      <c r="F54">
        <v>20</v>
      </c>
      <c r="G54">
        <f>D54+E54+F54</f>
        <v>60</v>
      </c>
    </row>
    <row r="55" spans="1:7" x14ac:dyDescent="0.3">
      <c r="A55">
        <v>433300</v>
      </c>
      <c r="B55">
        <v>10</v>
      </c>
      <c r="C55" t="s">
        <v>2667</v>
      </c>
      <c r="D55">
        <v>0</v>
      </c>
      <c r="E55">
        <v>40</v>
      </c>
      <c r="F55">
        <v>20</v>
      </c>
      <c r="G55">
        <f>D55+E55+F55</f>
        <v>60</v>
      </c>
    </row>
    <row r="56" spans="1:7" x14ac:dyDescent="0.3">
      <c r="A56">
        <v>433300</v>
      </c>
      <c r="B56">
        <v>11</v>
      </c>
      <c r="C56" t="s">
        <v>2671</v>
      </c>
      <c r="D56">
        <v>0</v>
      </c>
      <c r="E56">
        <v>40</v>
      </c>
      <c r="F56">
        <v>20</v>
      </c>
      <c r="G56">
        <f>D56+E56+F56</f>
        <v>60</v>
      </c>
    </row>
    <row r="57" spans="1:7" x14ac:dyDescent="0.3">
      <c r="A57">
        <v>435000</v>
      </c>
      <c r="B57">
        <v>6</v>
      </c>
      <c r="C57" t="s">
        <v>2771</v>
      </c>
      <c r="D57">
        <v>0</v>
      </c>
      <c r="E57">
        <v>40</v>
      </c>
      <c r="F57">
        <v>20</v>
      </c>
      <c r="G57">
        <f>D57+E57+F57</f>
        <v>60</v>
      </c>
    </row>
    <row r="58" spans="1:7" x14ac:dyDescent="0.3">
      <c r="A58">
        <v>439100</v>
      </c>
      <c r="B58">
        <v>22</v>
      </c>
      <c r="C58" t="s">
        <v>2822</v>
      </c>
      <c r="D58">
        <v>0</v>
      </c>
      <c r="E58">
        <v>40</v>
      </c>
      <c r="F58">
        <v>20</v>
      </c>
      <c r="G58">
        <f>D58+E58+F58</f>
        <v>60</v>
      </c>
    </row>
    <row r="59" spans="1:7" x14ac:dyDescent="0.3">
      <c r="A59">
        <v>439900</v>
      </c>
      <c r="B59">
        <v>26</v>
      </c>
      <c r="C59" t="s">
        <v>3135</v>
      </c>
      <c r="D59">
        <v>0</v>
      </c>
      <c r="E59">
        <v>40</v>
      </c>
      <c r="F59">
        <v>20</v>
      </c>
      <c r="G59">
        <f>D59+E59+F59</f>
        <v>60</v>
      </c>
    </row>
    <row r="60" spans="1:7" x14ac:dyDescent="0.3">
      <c r="A60">
        <v>813000</v>
      </c>
      <c r="B60">
        <v>3</v>
      </c>
      <c r="C60" t="s">
        <v>3619</v>
      </c>
      <c r="D60">
        <v>0</v>
      </c>
      <c r="E60">
        <v>40</v>
      </c>
      <c r="F60">
        <v>20</v>
      </c>
      <c r="G60">
        <f>D60+E60+F60</f>
        <v>60</v>
      </c>
    </row>
    <row r="61" spans="1:7" x14ac:dyDescent="0.3">
      <c r="A61">
        <v>813000</v>
      </c>
      <c r="B61">
        <v>4</v>
      </c>
      <c r="C61" t="s">
        <v>3624</v>
      </c>
      <c r="D61">
        <v>0</v>
      </c>
      <c r="E61">
        <v>40</v>
      </c>
      <c r="F61">
        <v>20</v>
      </c>
      <c r="G61">
        <f>D61+E61+F61</f>
        <v>60</v>
      </c>
    </row>
    <row r="62" spans="1:7" x14ac:dyDescent="0.3">
      <c r="A62">
        <v>813000</v>
      </c>
      <c r="B62">
        <v>10</v>
      </c>
      <c r="C62" t="s">
        <v>3586</v>
      </c>
      <c r="D62">
        <v>0</v>
      </c>
      <c r="E62">
        <v>40</v>
      </c>
      <c r="F62">
        <v>20</v>
      </c>
      <c r="G62">
        <f>D62+E62+F62</f>
        <v>60</v>
      </c>
    </row>
    <row r="63" spans="1:7" x14ac:dyDescent="0.3">
      <c r="A63">
        <v>813000</v>
      </c>
      <c r="B63">
        <v>11</v>
      </c>
      <c r="C63" t="s">
        <v>3598</v>
      </c>
      <c r="D63">
        <v>0</v>
      </c>
      <c r="E63">
        <v>40</v>
      </c>
      <c r="F63">
        <v>20</v>
      </c>
      <c r="G63">
        <f>D63+E63+F63</f>
        <v>60</v>
      </c>
    </row>
    <row r="64" spans="1:7" x14ac:dyDescent="0.3">
      <c r="A64">
        <v>813000</v>
      </c>
      <c r="B64">
        <v>12</v>
      </c>
      <c r="C64" t="s">
        <v>3566</v>
      </c>
      <c r="D64">
        <v>0</v>
      </c>
      <c r="E64">
        <v>40</v>
      </c>
      <c r="F64">
        <v>20</v>
      </c>
      <c r="G64">
        <f>D64+E64+F64</f>
        <v>60</v>
      </c>
    </row>
    <row r="65" spans="1:7" x14ac:dyDescent="0.3">
      <c r="A65">
        <v>813000</v>
      </c>
      <c r="B65">
        <v>15</v>
      </c>
      <c r="C65" t="s">
        <v>3630</v>
      </c>
      <c r="D65">
        <v>0</v>
      </c>
      <c r="E65">
        <v>40</v>
      </c>
      <c r="F65">
        <v>20</v>
      </c>
      <c r="G65">
        <f>D65+E65+F65</f>
        <v>60</v>
      </c>
    </row>
    <row r="66" spans="1:7" x14ac:dyDescent="0.3">
      <c r="A66">
        <v>813000</v>
      </c>
      <c r="B66">
        <v>16</v>
      </c>
      <c r="C66" t="s">
        <v>3606</v>
      </c>
      <c r="D66">
        <v>0</v>
      </c>
      <c r="E66">
        <v>40</v>
      </c>
      <c r="F66">
        <v>20</v>
      </c>
      <c r="G66">
        <f>D66+E66+F66</f>
        <v>60</v>
      </c>
    </row>
    <row r="67" spans="1:7" x14ac:dyDescent="0.3">
      <c r="A67">
        <v>422100</v>
      </c>
      <c r="B67">
        <v>9</v>
      </c>
      <c r="C67" t="s">
        <v>1039</v>
      </c>
      <c r="D67">
        <v>39</v>
      </c>
      <c r="E67">
        <v>10</v>
      </c>
      <c r="F67">
        <v>10</v>
      </c>
      <c r="G67">
        <f>D67+E67+F67</f>
        <v>59</v>
      </c>
    </row>
    <row r="68" spans="1:7" x14ac:dyDescent="0.3">
      <c r="A68">
        <v>432200</v>
      </c>
      <c r="B68">
        <v>10</v>
      </c>
      <c r="C68" t="s">
        <v>1637</v>
      </c>
      <c r="D68">
        <v>24</v>
      </c>
      <c r="E68">
        <v>25</v>
      </c>
      <c r="F68">
        <v>10</v>
      </c>
      <c r="G68">
        <f>D68+E68+F68</f>
        <v>59</v>
      </c>
    </row>
    <row r="69" spans="1:7" x14ac:dyDescent="0.3">
      <c r="A69">
        <v>432200</v>
      </c>
      <c r="B69">
        <v>13</v>
      </c>
      <c r="C69" t="s">
        <v>1517</v>
      </c>
      <c r="D69">
        <v>14</v>
      </c>
      <c r="E69">
        <v>25</v>
      </c>
      <c r="F69">
        <v>20</v>
      </c>
      <c r="G69">
        <f>D69+E69+F69</f>
        <v>59</v>
      </c>
    </row>
    <row r="70" spans="1:7" x14ac:dyDescent="0.3">
      <c r="A70">
        <v>432200</v>
      </c>
      <c r="B70">
        <v>14</v>
      </c>
      <c r="C70" t="s">
        <v>1788</v>
      </c>
      <c r="D70">
        <v>14</v>
      </c>
      <c r="E70">
        <v>25</v>
      </c>
      <c r="F70">
        <v>20</v>
      </c>
      <c r="G70">
        <f>D70+E70+F70</f>
        <v>59</v>
      </c>
    </row>
    <row r="71" spans="1:7" x14ac:dyDescent="0.3">
      <c r="A71">
        <v>432200</v>
      </c>
      <c r="B71">
        <v>15</v>
      </c>
      <c r="C71" t="s">
        <v>1800</v>
      </c>
      <c r="D71">
        <v>14</v>
      </c>
      <c r="E71">
        <v>25</v>
      </c>
      <c r="F71">
        <v>20</v>
      </c>
      <c r="G71">
        <f>D71+E71+F71</f>
        <v>59</v>
      </c>
    </row>
    <row r="72" spans="1:7" x14ac:dyDescent="0.3">
      <c r="A72">
        <v>435000</v>
      </c>
      <c r="B72">
        <v>4</v>
      </c>
      <c r="C72" t="s">
        <v>2766</v>
      </c>
      <c r="D72">
        <v>13</v>
      </c>
      <c r="E72">
        <v>25</v>
      </c>
      <c r="F72">
        <v>20</v>
      </c>
      <c r="G72">
        <f>D72+E72+F72</f>
        <v>58</v>
      </c>
    </row>
    <row r="73" spans="1:7" x14ac:dyDescent="0.3">
      <c r="A73">
        <v>711210</v>
      </c>
      <c r="B73">
        <v>20</v>
      </c>
      <c r="C73" t="s">
        <v>3262</v>
      </c>
      <c r="D73">
        <v>13</v>
      </c>
      <c r="E73">
        <v>25</v>
      </c>
      <c r="F73">
        <v>20</v>
      </c>
      <c r="G73">
        <f>D73+E73+F73</f>
        <v>58</v>
      </c>
    </row>
    <row r="74" spans="1:7" x14ac:dyDescent="0.3">
      <c r="A74">
        <v>711210</v>
      </c>
      <c r="B74">
        <v>10</v>
      </c>
      <c r="C74" t="s">
        <v>3290</v>
      </c>
      <c r="D74">
        <v>12</v>
      </c>
      <c r="E74">
        <v>25</v>
      </c>
      <c r="F74">
        <v>20</v>
      </c>
      <c r="G74">
        <f>D74+E74+F74</f>
        <v>57</v>
      </c>
    </row>
    <row r="75" spans="1:7" x14ac:dyDescent="0.3">
      <c r="A75">
        <v>711210</v>
      </c>
      <c r="B75">
        <v>21</v>
      </c>
      <c r="C75" t="s">
        <v>3369</v>
      </c>
      <c r="D75">
        <v>12</v>
      </c>
      <c r="E75">
        <v>25</v>
      </c>
      <c r="F75">
        <v>20</v>
      </c>
      <c r="G75">
        <f>D75+E75+F75</f>
        <v>57</v>
      </c>
    </row>
    <row r="76" spans="1:7" x14ac:dyDescent="0.3">
      <c r="A76">
        <v>813000</v>
      </c>
      <c r="B76">
        <v>7</v>
      </c>
      <c r="C76" t="s">
        <v>3636</v>
      </c>
      <c r="D76">
        <v>12</v>
      </c>
      <c r="E76">
        <v>25</v>
      </c>
      <c r="F76">
        <v>20</v>
      </c>
      <c r="G76">
        <f>D76+E76+F76</f>
        <v>57</v>
      </c>
    </row>
    <row r="77" spans="1:7" x14ac:dyDescent="0.3">
      <c r="A77">
        <v>410000</v>
      </c>
      <c r="B77">
        <v>27</v>
      </c>
      <c r="C77" t="s">
        <v>344</v>
      </c>
      <c r="D77">
        <v>36</v>
      </c>
      <c r="E77">
        <v>10</v>
      </c>
      <c r="F77">
        <v>10</v>
      </c>
      <c r="G77">
        <f>D77+E77+F77</f>
        <v>56</v>
      </c>
    </row>
    <row r="78" spans="1:7" x14ac:dyDescent="0.3">
      <c r="A78">
        <v>422100</v>
      </c>
      <c r="B78">
        <v>10</v>
      </c>
      <c r="C78" t="s">
        <v>1165</v>
      </c>
      <c r="D78">
        <v>36</v>
      </c>
      <c r="E78">
        <v>10</v>
      </c>
      <c r="F78">
        <v>10</v>
      </c>
      <c r="G78">
        <f>D78+E78+F78</f>
        <v>56</v>
      </c>
    </row>
    <row r="79" spans="1:7" x14ac:dyDescent="0.3">
      <c r="A79">
        <v>429900</v>
      </c>
      <c r="B79">
        <v>3</v>
      </c>
      <c r="C79" t="s">
        <v>1241</v>
      </c>
      <c r="D79">
        <v>36</v>
      </c>
      <c r="E79">
        <v>10</v>
      </c>
      <c r="F79">
        <v>10</v>
      </c>
      <c r="G79">
        <f>D79+E79+F79</f>
        <v>56</v>
      </c>
    </row>
    <row r="80" spans="1:7" x14ac:dyDescent="0.3">
      <c r="A80">
        <v>433200</v>
      </c>
      <c r="B80">
        <v>11</v>
      </c>
      <c r="C80" t="s">
        <v>2220</v>
      </c>
      <c r="D80">
        <v>21</v>
      </c>
      <c r="E80">
        <v>25</v>
      </c>
      <c r="F80">
        <v>10</v>
      </c>
      <c r="G80">
        <f>D80+E80+F80</f>
        <v>56</v>
      </c>
    </row>
    <row r="81" spans="1:7" x14ac:dyDescent="0.3">
      <c r="A81">
        <v>421100</v>
      </c>
      <c r="B81">
        <v>5</v>
      </c>
      <c r="C81" t="s">
        <v>892</v>
      </c>
      <c r="D81">
        <v>35</v>
      </c>
      <c r="E81">
        <v>10</v>
      </c>
      <c r="F81">
        <v>10</v>
      </c>
      <c r="G81">
        <f>D81+E81+F81</f>
        <v>55</v>
      </c>
    </row>
    <row r="82" spans="1:7" x14ac:dyDescent="0.3">
      <c r="A82">
        <v>431200</v>
      </c>
      <c r="B82">
        <v>4</v>
      </c>
      <c r="C82" t="s">
        <v>1350</v>
      </c>
      <c r="D82">
        <v>35</v>
      </c>
      <c r="E82">
        <v>10</v>
      </c>
      <c r="F82">
        <v>10</v>
      </c>
      <c r="G82">
        <f>D82+E82+F82</f>
        <v>55</v>
      </c>
    </row>
    <row r="83" spans="1:7" x14ac:dyDescent="0.3">
      <c r="A83">
        <v>435000</v>
      </c>
      <c r="B83">
        <v>5</v>
      </c>
      <c r="C83" t="s">
        <v>2777</v>
      </c>
      <c r="D83">
        <v>10</v>
      </c>
      <c r="E83">
        <v>25</v>
      </c>
      <c r="F83">
        <v>20</v>
      </c>
      <c r="G83">
        <f>D83+E83+F83</f>
        <v>55</v>
      </c>
    </row>
    <row r="84" spans="1:7" x14ac:dyDescent="0.3">
      <c r="A84">
        <v>711210</v>
      </c>
      <c r="B84">
        <v>22</v>
      </c>
      <c r="C84" t="s">
        <v>3357</v>
      </c>
      <c r="D84">
        <v>10</v>
      </c>
      <c r="E84">
        <v>25</v>
      </c>
      <c r="F84">
        <v>20</v>
      </c>
      <c r="G84">
        <f>D84+E84+F84</f>
        <v>55</v>
      </c>
    </row>
    <row r="85" spans="1:7" x14ac:dyDescent="0.3">
      <c r="A85">
        <v>410000</v>
      </c>
      <c r="B85">
        <v>38</v>
      </c>
      <c r="C85" t="s">
        <v>570</v>
      </c>
      <c r="D85">
        <v>19</v>
      </c>
      <c r="E85">
        <v>25</v>
      </c>
      <c r="F85">
        <v>10</v>
      </c>
      <c r="G85">
        <f>D85+E85+F85</f>
        <v>54</v>
      </c>
    </row>
    <row r="86" spans="1:7" x14ac:dyDescent="0.3">
      <c r="A86">
        <v>431200</v>
      </c>
      <c r="B86">
        <v>5</v>
      </c>
      <c r="C86" t="s">
        <v>1362</v>
      </c>
      <c r="D86">
        <v>34</v>
      </c>
      <c r="E86">
        <v>10</v>
      </c>
      <c r="F86">
        <v>10</v>
      </c>
      <c r="G86">
        <f>D86+E86+F86</f>
        <v>54</v>
      </c>
    </row>
    <row r="87" spans="1:7" x14ac:dyDescent="0.3">
      <c r="A87">
        <v>410000</v>
      </c>
      <c r="B87">
        <v>29</v>
      </c>
      <c r="C87" t="s">
        <v>462</v>
      </c>
      <c r="D87">
        <v>33</v>
      </c>
      <c r="E87">
        <v>10</v>
      </c>
      <c r="F87">
        <v>10</v>
      </c>
      <c r="G87">
        <f>D87+E87+F87</f>
        <v>53</v>
      </c>
    </row>
    <row r="88" spans="1:7" x14ac:dyDescent="0.3">
      <c r="A88">
        <v>433200</v>
      </c>
      <c r="B88">
        <v>12</v>
      </c>
      <c r="C88" t="s">
        <v>2296</v>
      </c>
      <c r="D88">
        <v>18</v>
      </c>
      <c r="E88">
        <v>25</v>
      </c>
      <c r="F88">
        <v>10</v>
      </c>
      <c r="G88">
        <f>D88+E88+F88</f>
        <v>53</v>
      </c>
    </row>
    <row r="89" spans="1:7" x14ac:dyDescent="0.3">
      <c r="A89">
        <v>434200</v>
      </c>
      <c r="B89">
        <v>5</v>
      </c>
      <c r="C89" t="s">
        <v>2715</v>
      </c>
      <c r="D89">
        <v>33</v>
      </c>
      <c r="E89">
        <v>10</v>
      </c>
      <c r="F89">
        <v>10</v>
      </c>
      <c r="G89">
        <f>D89+E89+F89</f>
        <v>53</v>
      </c>
    </row>
    <row r="90" spans="1:7" x14ac:dyDescent="0.3">
      <c r="A90">
        <v>711290</v>
      </c>
      <c r="B90">
        <v>4</v>
      </c>
      <c r="C90" t="s">
        <v>3541</v>
      </c>
      <c r="D90">
        <v>33</v>
      </c>
      <c r="E90">
        <v>10</v>
      </c>
      <c r="F90">
        <v>10</v>
      </c>
      <c r="G90">
        <f>D90+E90+F90</f>
        <v>53</v>
      </c>
    </row>
    <row r="91" spans="1:7" x14ac:dyDescent="0.3">
      <c r="A91">
        <v>410000</v>
      </c>
      <c r="B91">
        <v>30</v>
      </c>
      <c r="C91" t="s">
        <v>502</v>
      </c>
      <c r="D91">
        <v>32</v>
      </c>
      <c r="E91">
        <v>10</v>
      </c>
      <c r="F91">
        <v>10</v>
      </c>
      <c r="G91">
        <f>D91+E91+F91</f>
        <v>52</v>
      </c>
    </row>
    <row r="92" spans="1:7" x14ac:dyDescent="0.3">
      <c r="A92">
        <v>439900</v>
      </c>
      <c r="B92">
        <v>5</v>
      </c>
      <c r="C92" t="s">
        <v>3030</v>
      </c>
      <c r="D92">
        <v>32</v>
      </c>
      <c r="E92">
        <v>10</v>
      </c>
      <c r="F92">
        <v>10</v>
      </c>
      <c r="G92">
        <f>D92+E92+F92</f>
        <v>52</v>
      </c>
    </row>
    <row r="93" spans="1:7" x14ac:dyDescent="0.3">
      <c r="A93">
        <v>410000</v>
      </c>
      <c r="B93">
        <v>32</v>
      </c>
      <c r="C93" t="s">
        <v>391</v>
      </c>
      <c r="D93">
        <v>31</v>
      </c>
      <c r="E93">
        <v>10</v>
      </c>
      <c r="F93">
        <v>10</v>
      </c>
      <c r="G93">
        <f>D93+E93+F93</f>
        <v>51</v>
      </c>
    </row>
    <row r="94" spans="1:7" x14ac:dyDescent="0.3">
      <c r="A94">
        <v>433200</v>
      </c>
      <c r="B94">
        <v>7</v>
      </c>
      <c r="C94" t="s">
        <v>1961</v>
      </c>
      <c r="D94">
        <v>16</v>
      </c>
      <c r="E94">
        <v>25</v>
      </c>
      <c r="F94">
        <v>10</v>
      </c>
      <c r="G94">
        <f>D94+E94+F94</f>
        <v>51</v>
      </c>
    </row>
    <row r="95" spans="1:7" x14ac:dyDescent="0.3">
      <c r="A95">
        <v>433200</v>
      </c>
      <c r="B95">
        <v>13</v>
      </c>
      <c r="C95" t="s">
        <v>2406</v>
      </c>
      <c r="D95">
        <v>16</v>
      </c>
      <c r="E95">
        <v>25</v>
      </c>
      <c r="F95">
        <v>10</v>
      </c>
      <c r="G95">
        <f>D95+E95+F95</f>
        <v>51</v>
      </c>
    </row>
    <row r="96" spans="1:7" x14ac:dyDescent="0.3">
      <c r="A96">
        <v>410000</v>
      </c>
      <c r="B96">
        <v>33</v>
      </c>
      <c r="C96" t="s">
        <v>303</v>
      </c>
      <c r="D96">
        <v>30</v>
      </c>
      <c r="E96">
        <v>10</v>
      </c>
      <c r="F96">
        <v>10</v>
      </c>
      <c r="G96">
        <f>D96+E96+F96</f>
        <v>50</v>
      </c>
    </row>
    <row r="97" spans="1:7" x14ac:dyDescent="0.3">
      <c r="A97">
        <v>422100</v>
      </c>
      <c r="B97">
        <v>12</v>
      </c>
      <c r="C97" t="s">
        <v>928</v>
      </c>
      <c r="D97">
        <v>15</v>
      </c>
      <c r="E97">
        <v>25</v>
      </c>
      <c r="F97">
        <v>10</v>
      </c>
      <c r="G97">
        <f>D97+E97+F97</f>
        <v>50</v>
      </c>
    </row>
    <row r="98" spans="1:7" x14ac:dyDescent="0.3">
      <c r="A98">
        <v>681200</v>
      </c>
      <c r="B98">
        <v>7</v>
      </c>
      <c r="C98" t="s">
        <v>3188</v>
      </c>
      <c r="D98">
        <v>30</v>
      </c>
      <c r="E98">
        <v>10</v>
      </c>
      <c r="F98">
        <v>10</v>
      </c>
      <c r="G98">
        <f>D98+E98+F98</f>
        <v>50</v>
      </c>
    </row>
    <row r="99" spans="1:7" x14ac:dyDescent="0.3">
      <c r="A99">
        <v>410000</v>
      </c>
      <c r="B99">
        <v>25</v>
      </c>
      <c r="C99" t="s">
        <v>719</v>
      </c>
      <c r="D99">
        <v>29</v>
      </c>
      <c r="E99">
        <v>10</v>
      </c>
      <c r="F99">
        <v>10</v>
      </c>
      <c r="G99">
        <f>D99+E99+F99</f>
        <v>49</v>
      </c>
    </row>
    <row r="100" spans="1:7" x14ac:dyDescent="0.3">
      <c r="A100">
        <v>431200</v>
      </c>
      <c r="B100">
        <v>7</v>
      </c>
      <c r="C100" t="s">
        <v>1401</v>
      </c>
      <c r="D100">
        <v>14</v>
      </c>
      <c r="E100">
        <v>25</v>
      </c>
      <c r="F100">
        <v>10</v>
      </c>
      <c r="G100">
        <f>D100+E100+F100</f>
        <v>49</v>
      </c>
    </row>
    <row r="101" spans="1:7" x14ac:dyDescent="0.3">
      <c r="A101">
        <v>434200</v>
      </c>
      <c r="B101">
        <v>7</v>
      </c>
      <c r="C101" t="s">
        <v>2720</v>
      </c>
      <c r="D101">
        <v>14</v>
      </c>
      <c r="E101">
        <v>25</v>
      </c>
      <c r="F101">
        <v>10</v>
      </c>
      <c r="G101">
        <f>D101+E101+F101</f>
        <v>49</v>
      </c>
    </row>
    <row r="102" spans="1:7" x14ac:dyDescent="0.3">
      <c r="A102">
        <v>439100</v>
      </c>
      <c r="B102">
        <v>4</v>
      </c>
      <c r="C102" t="s">
        <v>2935</v>
      </c>
      <c r="D102">
        <v>14</v>
      </c>
      <c r="E102">
        <v>25</v>
      </c>
      <c r="F102">
        <v>10</v>
      </c>
      <c r="G102">
        <f>D102+E102+F102</f>
        <v>49</v>
      </c>
    </row>
    <row r="103" spans="1:7" x14ac:dyDescent="0.3">
      <c r="A103">
        <v>410000</v>
      </c>
      <c r="B103">
        <v>23</v>
      </c>
      <c r="C103" t="s">
        <v>365</v>
      </c>
      <c r="D103">
        <v>28</v>
      </c>
      <c r="E103">
        <v>10</v>
      </c>
      <c r="F103">
        <v>10</v>
      </c>
      <c r="G103">
        <f>D103+E103+F103</f>
        <v>48</v>
      </c>
    </row>
    <row r="104" spans="1:7" x14ac:dyDescent="0.3">
      <c r="A104">
        <v>410000</v>
      </c>
      <c r="B104">
        <v>24</v>
      </c>
      <c r="C104" t="s">
        <v>351</v>
      </c>
      <c r="D104">
        <v>28</v>
      </c>
      <c r="E104">
        <v>10</v>
      </c>
      <c r="F104">
        <v>10</v>
      </c>
      <c r="G104">
        <f>D104+E104+F104</f>
        <v>48</v>
      </c>
    </row>
    <row r="105" spans="1:7" x14ac:dyDescent="0.3">
      <c r="A105">
        <v>432200</v>
      </c>
      <c r="B105">
        <v>16</v>
      </c>
      <c r="C105" t="s">
        <v>1711</v>
      </c>
      <c r="D105">
        <v>13</v>
      </c>
      <c r="E105">
        <v>25</v>
      </c>
      <c r="F105">
        <v>10</v>
      </c>
      <c r="G105">
        <f>D105+E105+F105</f>
        <v>48</v>
      </c>
    </row>
    <row r="106" spans="1:7" x14ac:dyDescent="0.3">
      <c r="A106">
        <v>433200</v>
      </c>
      <c r="B106">
        <v>17</v>
      </c>
      <c r="C106" t="s">
        <v>2056</v>
      </c>
      <c r="D106">
        <v>13</v>
      </c>
      <c r="E106">
        <v>25</v>
      </c>
      <c r="F106">
        <v>10</v>
      </c>
      <c r="G106">
        <f>D106+E106+F106</f>
        <v>48</v>
      </c>
    </row>
    <row r="107" spans="1:7" x14ac:dyDescent="0.3">
      <c r="A107">
        <v>431200</v>
      </c>
      <c r="B107">
        <v>8</v>
      </c>
      <c r="C107" t="s">
        <v>1342</v>
      </c>
      <c r="D107">
        <v>12</v>
      </c>
      <c r="E107">
        <v>25</v>
      </c>
      <c r="F107">
        <v>10</v>
      </c>
      <c r="G107">
        <f>D107+E107+F107</f>
        <v>47</v>
      </c>
    </row>
    <row r="108" spans="1:7" x14ac:dyDescent="0.3">
      <c r="A108">
        <v>433200</v>
      </c>
      <c r="B108">
        <v>18</v>
      </c>
      <c r="C108" t="s">
        <v>2413</v>
      </c>
      <c r="D108">
        <v>12</v>
      </c>
      <c r="E108">
        <v>25</v>
      </c>
      <c r="F108">
        <v>10</v>
      </c>
      <c r="G108">
        <f>D108+E108+F108</f>
        <v>47</v>
      </c>
    </row>
    <row r="109" spans="1:7" x14ac:dyDescent="0.3">
      <c r="A109">
        <v>421100</v>
      </c>
      <c r="B109">
        <v>6</v>
      </c>
      <c r="C109" t="s">
        <v>867</v>
      </c>
      <c r="D109">
        <v>26</v>
      </c>
      <c r="E109">
        <v>10</v>
      </c>
      <c r="F109">
        <v>10</v>
      </c>
      <c r="G109">
        <f>D109+E109+F109</f>
        <v>46</v>
      </c>
    </row>
    <row r="110" spans="1:7" x14ac:dyDescent="0.3">
      <c r="A110">
        <v>432200</v>
      </c>
      <c r="B110">
        <v>17</v>
      </c>
      <c r="C110" t="s">
        <v>1504</v>
      </c>
      <c r="D110">
        <v>11</v>
      </c>
      <c r="E110">
        <v>25</v>
      </c>
      <c r="F110">
        <v>10</v>
      </c>
      <c r="G110">
        <f>D110+E110+F110</f>
        <v>46</v>
      </c>
    </row>
    <row r="111" spans="1:7" x14ac:dyDescent="0.3">
      <c r="A111">
        <v>432200</v>
      </c>
      <c r="B111">
        <v>18</v>
      </c>
      <c r="C111" t="s">
        <v>1731</v>
      </c>
      <c r="D111">
        <v>11</v>
      </c>
      <c r="E111">
        <v>25</v>
      </c>
      <c r="F111">
        <v>10</v>
      </c>
      <c r="G111">
        <f>D111+E111+F111</f>
        <v>46</v>
      </c>
    </row>
    <row r="112" spans="1:7" x14ac:dyDescent="0.3">
      <c r="A112">
        <v>410000</v>
      </c>
      <c r="B112">
        <v>47</v>
      </c>
      <c r="C112" t="s">
        <v>457</v>
      </c>
      <c r="D112">
        <v>10</v>
      </c>
      <c r="E112">
        <v>25</v>
      </c>
      <c r="F112">
        <v>10</v>
      </c>
      <c r="G112">
        <f>D112+E112+F112</f>
        <v>45</v>
      </c>
    </row>
    <row r="113" spans="1:7" x14ac:dyDescent="0.3">
      <c r="A113">
        <v>410000</v>
      </c>
      <c r="B113">
        <v>57</v>
      </c>
      <c r="C113" t="s">
        <v>476</v>
      </c>
      <c r="D113">
        <v>0</v>
      </c>
      <c r="E113">
        <v>25</v>
      </c>
      <c r="F113">
        <v>20</v>
      </c>
      <c r="G113">
        <f>D113+E113+F113</f>
        <v>45</v>
      </c>
    </row>
    <row r="114" spans="1:7" x14ac:dyDescent="0.3">
      <c r="A114">
        <v>410000</v>
      </c>
      <c r="B114">
        <v>66</v>
      </c>
      <c r="C114" t="s">
        <v>436</v>
      </c>
      <c r="D114">
        <v>0</v>
      </c>
      <c r="E114">
        <v>25</v>
      </c>
      <c r="F114">
        <v>20</v>
      </c>
      <c r="G114">
        <f>D114+E114+F114</f>
        <v>45</v>
      </c>
    </row>
    <row r="115" spans="1:7" x14ac:dyDescent="0.3">
      <c r="A115">
        <v>410000</v>
      </c>
      <c r="B115">
        <v>69</v>
      </c>
      <c r="C115" t="s">
        <v>83</v>
      </c>
      <c r="D115">
        <v>0</v>
      </c>
      <c r="E115">
        <v>25</v>
      </c>
      <c r="F115">
        <v>20</v>
      </c>
      <c r="G115">
        <f>D115+E115+F115</f>
        <v>45</v>
      </c>
    </row>
    <row r="116" spans="1:7" x14ac:dyDescent="0.3">
      <c r="A116">
        <v>410000</v>
      </c>
      <c r="B116">
        <v>70</v>
      </c>
      <c r="C116" t="s">
        <v>425</v>
      </c>
      <c r="D116">
        <v>0</v>
      </c>
      <c r="E116">
        <v>25</v>
      </c>
      <c r="F116">
        <v>20</v>
      </c>
      <c r="G116">
        <f>D116+E116+F116</f>
        <v>45</v>
      </c>
    </row>
    <row r="117" spans="1:7" x14ac:dyDescent="0.3">
      <c r="A117">
        <v>410000</v>
      </c>
      <c r="B117">
        <v>80</v>
      </c>
      <c r="C117" t="s">
        <v>147</v>
      </c>
      <c r="D117">
        <v>0</v>
      </c>
      <c r="E117">
        <v>25</v>
      </c>
      <c r="F117">
        <v>20</v>
      </c>
      <c r="G117">
        <f>D117+E117+F117</f>
        <v>45</v>
      </c>
    </row>
    <row r="118" spans="1:7" x14ac:dyDescent="0.3">
      <c r="A118">
        <v>410000</v>
      </c>
      <c r="B118">
        <v>87</v>
      </c>
      <c r="C118" t="s">
        <v>91</v>
      </c>
      <c r="D118">
        <v>0</v>
      </c>
      <c r="E118">
        <v>25</v>
      </c>
      <c r="F118">
        <v>20</v>
      </c>
      <c r="G118">
        <f>D118+E118+F118</f>
        <v>45</v>
      </c>
    </row>
    <row r="119" spans="1:7" x14ac:dyDescent="0.3">
      <c r="A119">
        <v>421100</v>
      </c>
      <c r="B119">
        <v>7</v>
      </c>
      <c r="C119" t="s">
        <v>911</v>
      </c>
      <c r="D119">
        <v>25</v>
      </c>
      <c r="E119">
        <v>10</v>
      </c>
      <c r="F119">
        <v>10</v>
      </c>
      <c r="G119">
        <f>D119+E119+F119</f>
        <v>45</v>
      </c>
    </row>
    <row r="120" spans="1:7" x14ac:dyDescent="0.3">
      <c r="A120">
        <v>421100</v>
      </c>
      <c r="B120">
        <v>8</v>
      </c>
      <c r="C120" t="s">
        <v>881</v>
      </c>
      <c r="D120">
        <v>10</v>
      </c>
      <c r="E120">
        <v>25</v>
      </c>
      <c r="F120">
        <v>10</v>
      </c>
      <c r="G120">
        <f>D120+E120+F120</f>
        <v>45</v>
      </c>
    </row>
    <row r="121" spans="1:7" x14ac:dyDescent="0.3">
      <c r="A121">
        <v>422100</v>
      </c>
      <c r="B121">
        <v>5</v>
      </c>
      <c r="C121" t="s">
        <v>996</v>
      </c>
      <c r="D121">
        <v>0</v>
      </c>
      <c r="E121">
        <v>25</v>
      </c>
      <c r="F121">
        <v>20</v>
      </c>
      <c r="G121">
        <f>D121+E121+F121</f>
        <v>45</v>
      </c>
    </row>
    <row r="122" spans="1:7" x14ac:dyDescent="0.3">
      <c r="A122">
        <v>422100</v>
      </c>
      <c r="B122">
        <v>6</v>
      </c>
      <c r="C122" t="s">
        <v>1096</v>
      </c>
      <c r="D122">
        <v>0</v>
      </c>
      <c r="E122">
        <v>25</v>
      </c>
      <c r="F122">
        <v>20</v>
      </c>
      <c r="G122">
        <f>D122+E122+F122</f>
        <v>45</v>
      </c>
    </row>
    <row r="123" spans="1:7" x14ac:dyDescent="0.3">
      <c r="A123">
        <v>431100</v>
      </c>
      <c r="B123">
        <v>3</v>
      </c>
      <c r="C123" t="s">
        <v>1315</v>
      </c>
      <c r="D123">
        <v>0</v>
      </c>
      <c r="E123">
        <v>25</v>
      </c>
      <c r="F123">
        <v>20</v>
      </c>
      <c r="G123">
        <f>D123+E123+F123</f>
        <v>45</v>
      </c>
    </row>
    <row r="124" spans="1:7" x14ac:dyDescent="0.3">
      <c r="A124">
        <v>431100</v>
      </c>
      <c r="B124">
        <v>4</v>
      </c>
      <c r="C124" t="s">
        <v>1296</v>
      </c>
      <c r="D124">
        <v>0</v>
      </c>
      <c r="E124">
        <v>25</v>
      </c>
      <c r="F124">
        <v>20</v>
      </c>
      <c r="G124">
        <f>D124+E124+F124</f>
        <v>45</v>
      </c>
    </row>
    <row r="125" spans="1:7" x14ac:dyDescent="0.3">
      <c r="A125">
        <v>431200</v>
      </c>
      <c r="B125">
        <v>9</v>
      </c>
      <c r="C125" t="s">
        <v>1441</v>
      </c>
      <c r="D125">
        <v>10</v>
      </c>
      <c r="E125">
        <v>25</v>
      </c>
      <c r="F125">
        <v>10</v>
      </c>
      <c r="G125">
        <f>D125+E125+F125</f>
        <v>45</v>
      </c>
    </row>
    <row r="126" spans="1:7" x14ac:dyDescent="0.3">
      <c r="A126">
        <v>432200</v>
      </c>
      <c r="B126">
        <v>3</v>
      </c>
      <c r="C126" t="s">
        <v>1670</v>
      </c>
      <c r="D126">
        <v>0</v>
      </c>
      <c r="E126">
        <v>25</v>
      </c>
      <c r="F126">
        <v>20</v>
      </c>
      <c r="G126">
        <f>D126+E126+F126</f>
        <v>45</v>
      </c>
    </row>
    <row r="127" spans="1:7" x14ac:dyDescent="0.3">
      <c r="A127">
        <v>432200</v>
      </c>
      <c r="B127">
        <v>5</v>
      </c>
      <c r="C127" t="s">
        <v>1744</v>
      </c>
      <c r="D127">
        <v>0</v>
      </c>
      <c r="E127">
        <v>25</v>
      </c>
      <c r="F127">
        <v>20</v>
      </c>
      <c r="G127">
        <f>D127+E127+F127</f>
        <v>45</v>
      </c>
    </row>
    <row r="128" spans="1:7" x14ac:dyDescent="0.3">
      <c r="A128">
        <v>432200</v>
      </c>
      <c r="B128">
        <v>6</v>
      </c>
      <c r="C128" t="s">
        <v>1596</v>
      </c>
      <c r="D128">
        <v>0</v>
      </c>
      <c r="E128">
        <v>25</v>
      </c>
      <c r="F128">
        <v>20</v>
      </c>
      <c r="G128">
        <f>D128+E128+F128</f>
        <v>45</v>
      </c>
    </row>
    <row r="129" spans="1:7" x14ac:dyDescent="0.3">
      <c r="A129">
        <v>432200</v>
      </c>
      <c r="B129">
        <v>19</v>
      </c>
      <c r="C129" t="s">
        <v>1585</v>
      </c>
      <c r="D129">
        <v>0</v>
      </c>
      <c r="E129">
        <v>25</v>
      </c>
      <c r="F129">
        <v>20</v>
      </c>
      <c r="G129">
        <f>D129+E129+F129</f>
        <v>45</v>
      </c>
    </row>
    <row r="130" spans="1:7" x14ac:dyDescent="0.3">
      <c r="A130">
        <v>432200</v>
      </c>
      <c r="B130">
        <v>20</v>
      </c>
      <c r="C130" t="s">
        <v>1706</v>
      </c>
      <c r="D130">
        <v>0</v>
      </c>
      <c r="E130">
        <v>25</v>
      </c>
      <c r="F130">
        <v>20</v>
      </c>
      <c r="G130">
        <f>D130+E130+F130</f>
        <v>45</v>
      </c>
    </row>
    <row r="131" spans="1:7" x14ac:dyDescent="0.3">
      <c r="A131">
        <v>432200</v>
      </c>
      <c r="B131">
        <v>21</v>
      </c>
      <c r="C131" t="s">
        <v>1716</v>
      </c>
      <c r="D131">
        <v>0</v>
      </c>
      <c r="E131">
        <v>25</v>
      </c>
      <c r="F131">
        <v>20</v>
      </c>
      <c r="G131">
        <f>D131+E131+F131</f>
        <v>45</v>
      </c>
    </row>
    <row r="132" spans="1:7" x14ac:dyDescent="0.3">
      <c r="A132">
        <v>432200</v>
      </c>
      <c r="B132">
        <v>25</v>
      </c>
      <c r="C132" t="s">
        <v>1690</v>
      </c>
      <c r="D132">
        <v>0</v>
      </c>
      <c r="E132">
        <v>25</v>
      </c>
      <c r="F132">
        <v>20</v>
      </c>
      <c r="G132">
        <f>D132+E132+F132</f>
        <v>45</v>
      </c>
    </row>
    <row r="133" spans="1:7" x14ac:dyDescent="0.3">
      <c r="A133">
        <v>432200</v>
      </c>
      <c r="B133">
        <v>26</v>
      </c>
      <c r="C133" t="s">
        <v>1695</v>
      </c>
      <c r="D133">
        <v>0</v>
      </c>
      <c r="E133">
        <v>25</v>
      </c>
      <c r="F133">
        <v>20</v>
      </c>
      <c r="G133">
        <f>D133+E133+F133</f>
        <v>45</v>
      </c>
    </row>
    <row r="134" spans="1:7" x14ac:dyDescent="0.3">
      <c r="A134">
        <v>432200</v>
      </c>
      <c r="B134">
        <v>27</v>
      </c>
      <c r="C134" t="s">
        <v>1818</v>
      </c>
      <c r="D134">
        <v>0</v>
      </c>
      <c r="E134">
        <v>25</v>
      </c>
      <c r="F134">
        <v>20</v>
      </c>
      <c r="G134">
        <f>D134+E134+F134</f>
        <v>45</v>
      </c>
    </row>
    <row r="135" spans="1:7" x14ac:dyDescent="0.3">
      <c r="A135">
        <v>432200</v>
      </c>
      <c r="B135">
        <v>28</v>
      </c>
      <c r="C135" t="s">
        <v>1562</v>
      </c>
      <c r="D135">
        <v>0</v>
      </c>
      <c r="E135">
        <v>25</v>
      </c>
      <c r="F135">
        <v>20</v>
      </c>
      <c r="G135">
        <f>D135+E135+F135</f>
        <v>45</v>
      </c>
    </row>
    <row r="136" spans="1:7" x14ac:dyDescent="0.3">
      <c r="A136">
        <v>432200</v>
      </c>
      <c r="B136">
        <v>32</v>
      </c>
      <c r="C136" t="s">
        <v>1768</v>
      </c>
      <c r="D136">
        <v>0</v>
      </c>
      <c r="E136">
        <v>25</v>
      </c>
      <c r="F136">
        <v>20</v>
      </c>
      <c r="G136">
        <f>D136+E136+F136</f>
        <v>45</v>
      </c>
    </row>
    <row r="137" spans="1:7" x14ac:dyDescent="0.3">
      <c r="A137">
        <v>432200</v>
      </c>
      <c r="B137">
        <v>42</v>
      </c>
      <c r="C137" t="s">
        <v>1684</v>
      </c>
      <c r="D137">
        <v>0</v>
      </c>
      <c r="E137">
        <v>25</v>
      </c>
      <c r="F137">
        <v>20</v>
      </c>
      <c r="G137">
        <f>D137+E137+F137</f>
        <v>45</v>
      </c>
    </row>
    <row r="138" spans="1:7" x14ac:dyDescent="0.3">
      <c r="A138">
        <v>432200</v>
      </c>
      <c r="B138">
        <v>43</v>
      </c>
      <c r="C138" t="s">
        <v>1763</v>
      </c>
      <c r="D138">
        <v>0</v>
      </c>
      <c r="E138">
        <v>25</v>
      </c>
      <c r="F138">
        <v>20</v>
      </c>
      <c r="G138">
        <f>D138+E138+F138</f>
        <v>45</v>
      </c>
    </row>
    <row r="139" spans="1:7" x14ac:dyDescent="0.3">
      <c r="A139">
        <v>432200</v>
      </c>
      <c r="B139">
        <v>45</v>
      </c>
      <c r="C139" t="s">
        <v>1642</v>
      </c>
      <c r="D139">
        <v>0</v>
      </c>
      <c r="E139">
        <v>25</v>
      </c>
      <c r="F139">
        <v>20</v>
      </c>
      <c r="G139">
        <f>D139+E139+F139</f>
        <v>45</v>
      </c>
    </row>
    <row r="140" spans="1:7" x14ac:dyDescent="0.3">
      <c r="A140">
        <v>432200</v>
      </c>
      <c r="B140">
        <v>48</v>
      </c>
      <c r="C140" t="s">
        <v>1567</v>
      </c>
      <c r="D140">
        <v>0</v>
      </c>
      <c r="E140">
        <v>25</v>
      </c>
      <c r="F140">
        <v>20</v>
      </c>
      <c r="G140">
        <f>D140+E140+F140</f>
        <v>45</v>
      </c>
    </row>
    <row r="141" spans="1:7" x14ac:dyDescent="0.3">
      <c r="A141">
        <v>432200</v>
      </c>
      <c r="B141">
        <v>51</v>
      </c>
      <c r="C141" t="s">
        <v>1830</v>
      </c>
      <c r="D141">
        <v>0</v>
      </c>
      <c r="E141">
        <v>25</v>
      </c>
      <c r="F141">
        <v>20</v>
      </c>
      <c r="G141">
        <f>D141+E141+F141</f>
        <v>45</v>
      </c>
    </row>
    <row r="142" spans="1:7" x14ac:dyDescent="0.3">
      <c r="A142">
        <v>432200</v>
      </c>
      <c r="B142">
        <v>56</v>
      </c>
      <c r="C142" t="s">
        <v>1776</v>
      </c>
      <c r="D142">
        <v>0</v>
      </c>
      <c r="E142">
        <v>25</v>
      </c>
      <c r="F142">
        <v>20</v>
      </c>
      <c r="G142">
        <f>D142+E142+F142</f>
        <v>45</v>
      </c>
    </row>
    <row r="143" spans="1:7" x14ac:dyDescent="0.3">
      <c r="A143">
        <v>432200</v>
      </c>
      <c r="B143">
        <v>61</v>
      </c>
      <c r="C143" t="s">
        <v>1630</v>
      </c>
      <c r="D143">
        <v>0</v>
      </c>
      <c r="E143">
        <v>25</v>
      </c>
      <c r="F143">
        <v>20</v>
      </c>
      <c r="G143">
        <f>D143+E143+F143</f>
        <v>45</v>
      </c>
    </row>
    <row r="144" spans="1:7" x14ac:dyDescent="0.3">
      <c r="A144">
        <v>432200</v>
      </c>
      <c r="B144">
        <v>66</v>
      </c>
      <c r="C144" t="s">
        <v>1740</v>
      </c>
      <c r="D144">
        <v>0</v>
      </c>
      <c r="E144">
        <v>25</v>
      </c>
      <c r="F144">
        <v>20</v>
      </c>
      <c r="G144">
        <f>D144+E144+F144</f>
        <v>45</v>
      </c>
    </row>
    <row r="145" spans="1:7" x14ac:dyDescent="0.3">
      <c r="A145">
        <v>433200</v>
      </c>
      <c r="B145">
        <v>4</v>
      </c>
      <c r="C145" t="s">
        <v>2369</v>
      </c>
      <c r="D145">
        <v>0</v>
      </c>
      <c r="E145">
        <v>25</v>
      </c>
      <c r="F145">
        <v>20</v>
      </c>
      <c r="G145">
        <f>D145+E145+F145</f>
        <v>45</v>
      </c>
    </row>
    <row r="146" spans="1:7" x14ac:dyDescent="0.3">
      <c r="A146">
        <v>433200</v>
      </c>
      <c r="B146">
        <v>5</v>
      </c>
      <c r="C146" t="s">
        <v>2160</v>
      </c>
      <c r="D146">
        <v>0</v>
      </c>
      <c r="E146">
        <v>25</v>
      </c>
      <c r="F146">
        <v>20</v>
      </c>
      <c r="G146">
        <f>D146+E146+F146</f>
        <v>45</v>
      </c>
    </row>
    <row r="147" spans="1:7" x14ac:dyDescent="0.3">
      <c r="A147">
        <v>433200</v>
      </c>
      <c r="B147">
        <v>8</v>
      </c>
      <c r="C147" t="s">
        <v>1999</v>
      </c>
      <c r="D147">
        <v>25</v>
      </c>
      <c r="E147">
        <v>10</v>
      </c>
      <c r="F147">
        <v>10</v>
      </c>
      <c r="G147">
        <f>D147+E147+F147</f>
        <v>45</v>
      </c>
    </row>
    <row r="148" spans="1:7" x14ac:dyDescent="0.3">
      <c r="A148">
        <v>433200</v>
      </c>
      <c r="B148">
        <v>19</v>
      </c>
      <c r="C148" t="s">
        <v>2453</v>
      </c>
      <c r="D148">
        <v>10</v>
      </c>
      <c r="E148">
        <v>25</v>
      </c>
      <c r="F148">
        <v>10</v>
      </c>
      <c r="G148">
        <f>D148+E148+F148</f>
        <v>45</v>
      </c>
    </row>
    <row r="149" spans="1:7" x14ac:dyDescent="0.3">
      <c r="A149">
        <v>433200</v>
      </c>
      <c r="B149">
        <v>27</v>
      </c>
      <c r="C149" t="s">
        <v>2386</v>
      </c>
      <c r="D149">
        <v>0</v>
      </c>
      <c r="E149">
        <v>25</v>
      </c>
      <c r="F149">
        <v>20</v>
      </c>
      <c r="G149">
        <f>D149+E149+F149</f>
        <v>45</v>
      </c>
    </row>
    <row r="150" spans="1:7" x14ac:dyDescent="0.3">
      <c r="A150">
        <v>433200</v>
      </c>
      <c r="B150">
        <v>31</v>
      </c>
      <c r="C150" t="s">
        <v>2197</v>
      </c>
      <c r="D150">
        <v>0</v>
      </c>
      <c r="E150">
        <v>25</v>
      </c>
      <c r="F150">
        <v>20</v>
      </c>
      <c r="G150">
        <f>D150+E150+F150</f>
        <v>45</v>
      </c>
    </row>
    <row r="151" spans="1:7" x14ac:dyDescent="0.3">
      <c r="A151">
        <v>433200</v>
      </c>
      <c r="B151">
        <v>34</v>
      </c>
      <c r="C151" t="s">
        <v>2201</v>
      </c>
      <c r="D151">
        <v>0</v>
      </c>
      <c r="E151">
        <v>25</v>
      </c>
      <c r="F151">
        <v>20</v>
      </c>
      <c r="G151">
        <f>D151+E151+F151</f>
        <v>45</v>
      </c>
    </row>
    <row r="152" spans="1:7" x14ac:dyDescent="0.3">
      <c r="A152">
        <v>433200</v>
      </c>
      <c r="B152">
        <v>47</v>
      </c>
      <c r="C152" t="s">
        <v>2238</v>
      </c>
      <c r="D152">
        <v>0</v>
      </c>
      <c r="E152">
        <v>25</v>
      </c>
      <c r="F152">
        <v>20</v>
      </c>
      <c r="G152">
        <f>D152+E152+F152</f>
        <v>45</v>
      </c>
    </row>
    <row r="153" spans="1:7" x14ac:dyDescent="0.3">
      <c r="A153">
        <v>433200</v>
      </c>
      <c r="B153">
        <v>72</v>
      </c>
      <c r="C153" t="s">
        <v>2502</v>
      </c>
      <c r="D153">
        <v>0</v>
      </c>
      <c r="E153">
        <v>25</v>
      </c>
      <c r="F153">
        <v>20</v>
      </c>
      <c r="G153">
        <f>D153+E153+F153</f>
        <v>45</v>
      </c>
    </row>
    <row r="154" spans="1:7" x14ac:dyDescent="0.3">
      <c r="A154">
        <v>433200</v>
      </c>
      <c r="B154">
        <v>77</v>
      </c>
      <c r="C154" t="s">
        <v>2302</v>
      </c>
      <c r="D154">
        <v>0</v>
      </c>
      <c r="E154">
        <v>25</v>
      </c>
      <c r="F154">
        <v>20</v>
      </c>
      <c r="G154">
        <f>D154+E154+F154</f>
        <v>45</v>
      </c>
    </row>
    <row r="155" spans="1:7" x14ac:dyDescent="0.3">
      <c r="A155">
        <v>433200</v>
      </c>
      <c r="B155">
        <v>88</v>
      </c>
      <c r="C155" t="s">
        <v>2156</v>
      </c>
      <c r="D155">
        <v>0</v>
      </c>
      <c r="E155">
        <v>25</v>
      </c>
      <c r="F155">
        <v>20</v>
      </c>
      <c r="G155">
        <f>D155+E155+F155</f>
        <v>45</v>
      </c>
    </row>
    <row r="156" spans="1:7" x14ac:dyDescent="0.3">
      <c r="A156">
        <v>433200</v>
      </c>
      <c r="B156">
        <v>99</v>
      </c>
      <c r="C156" t="s">
        <v>2026</v>
      </c>
      <c r="D156">
        <v>0</v>
      </c>
      <c r="E156">
        <v>25</v>
      </c>
      <c r="F156">
        <v>20</v>
      </c>
      <c r="G156">
        <f>D156+E156+F156</f>
        <v>45</v>
      </c>
    </row>
    <row r="157" spans="1:7" x14ac:dyDescent="0.3">
      <c r="A157">
        <v>433300</v>
      </c>
      <c r="B157">
        <v>4</v>
      </c>
      <c r="C157" t="s">
        <v>2625</v>
      </c>
      <c r="D157">
        <v>0</v>
      </c>
      <c r="E157">
        <v>25</v>
      </c>
      <c r="F157">
        <v>20</v>
      </c>
      <c r="G157">
        <f>D157+E157+F157</f>
        <v>45</v>
      </c>
    </row>
    <row r="158" spans="1:7" x14ac:dyDescent="0.3">
      <c r="A158">
        <v>433300</v>
      </c>
      <c r="B158">
        <v>6</v>
      </c>
      <c r="C158" t="s">
        <v>2650</v>
      </c>
      <c r="D158">
        <v>0</v>
      </c>
      <c r="E158">
        <v>25</v>
      </c>
      <c r="F158">
        <v>20</v>
      </c>
      <c r="G158">
        <f>D158+E158+F158</f>
        <v>45</v>
      </c>
    </row>
    <row r="159" spans="1:7" x14ac:dyDescent="0.3">
      <c r="A159">
        <v>433300</v>
      </c>
      <c r="B159">
        <v>12</v>
      </c>
      <c r="C159" t="s">
        <v>2683</v>
      </c>
      <c r="D159">
        <v>0</v>
      </c>
      <c r="E159">
        <v>25</v>
      </c>
      <c r="F159">
        <v>20</v>
      </c>
      <c r="G159">
        <f>D159+E159+F159</f>
        <v>45</v>
      </c>
    </row>
    <row r="160" spans="1:7" x14ac:dyDescent="0.3">
      <c r="A160">
        <v>433300</v>
      </c>
      <c r="B160">
        <v>13</v>
      </c>
      <c r="C160" t="s">
        <v>2657</v>
      </c>
      <c r="D160">
        <v>0</v>
      </c>
      <c r="E160">
        <v>25</v>
      </c>
      <c r="F160">
        <v>20</v>
      </c>
      <c r="G160">
        <f>D160+E160+F160</f>
        <v>45</v>
      </c>
    </row>
    <row r="161" spans="1:7" x14ac:dyDescent="0.3">
      <c r="A161">
        <v>433300</v>
      </c>
      <c r="B161">
        <v>14</v>
      </c>
      <c r="C161" t="s">
        <v>2633</v>
      </c>
      <c r="D161">
        <v>0</v>
      </c>
      <c r="E161">
        <v>25</v>
      </c>
      <c r="F161">
        <v>20</v>
      </c>
      <c r="G161">
        <f>D161+E161+F161</f>
        <v>45</v>
      </c>
    </row>
    <row r="162" spans="1:7" x14ac:dyDescent="0.3">
      <c r="A162">
        <v>434200</v>
      </c>
      <c r="B162">
        <v>3</v>
      </c>
      <c r="C162" t="s">
        <v>2717</v>
      </c>
      <c r="D162">
        <v>0</v>
      </c>
      <c r="E162">
        <v>25</v>
      </c>
      <c r="F162">
        <v>20</v>
      </c>
      <c r="G162">
        <f>D162+E162+F162</f>
        <v>45</v>
      </c>
    </row>
    <row r="163" spans="1:7" x14ac:dyDescent="0.3">
      <c r="A163">
        <v>434200</v>
      </c>
      <c r="B163">
        <v>4</v>
      </c>
      <c r="C163" t="s">
        <v>2711</v>
      </c>
      <c r="D163">
        <v>0</v>
      </c>
      <c r="E163">
        <v>25</v>
      </c>
      <c r="F163">
        <v>20</v>
      </c>
      <c r="G163">
        <f>D163+E163+F163</f>
        <v>45</v>
      </c>
    </row>
    <row r="164" spans="1:7" x14ac:dyDescent="0.3">
      <c r="A164">
        <v>439100</v>
      </c>
      <c r="B164">
        <v>6</v>
      </c>
      <c r="C164" t="s">
        <v>2825</v>
      </c>
      <c r="D164">
        <v>10</v>
      </c>
      <c r="E164">
        <v>25</v>
      </c>
      <c r="F164">
        <v>10</v>
      </c>
      <c r="G164">
        <f>D164+E164+F164</f>
        <v>45</v>
      </c>
    </row>
    <row r="165" spans="1:7" x14ac:dyDescent="0.3">
      <c r="A165">
        <v>439100</v>
      </c>
      <c r="B165">
        <v>8</v>
      </c>
      <c r="C165" t="s">
        <v>2874</v>
      </c>
      <c r="D165">
        <v>0</v>
      </c>
      <c r="E165">
        <v>25</v>
      </c>
      <c r="F165">
        <v>20</v>
      </c>
      <c r="G165">
        <f>D165+E165+F165</f>
        <v>45</v>
      </c>
    </row>
    <row r="166" spans="1:7" x14ac:dyDescent="0.3">
      <c r="A166">
        <v>439100</v>
      </c>
      <c r="B166">
        <v>10</v>
      </c>
      <c r="C166" t="s">
        <v>2892</v>
      </c>
      <c r="D166">
        <v>0</v>
      </c>
      <c r="E166">
        <v>25</v>
      </c>
      <c r="F166">
        <v>20</v>
      </c>
      <c r="G166">
        <f>D166+E166+F166</f>
        <v>45</v>
      </c>
    </row>
    <row r="167" spans="1:7" x14ac:dyDescent="0.3">
      <c r="A167">
        <v>439100</v>
      </c>
      <c r="B167">
        <v>15</v>
      </c>
      <c r="C167" t="s">
        <v>2844</v>
      </c>
      <c r="D167">
        <v>0</v>
      </c>
      <c r="E167">
        <v>25</v>
      </c>
      <c r="F167">
        <v>20</v>
      </c>
      <c r="G167">
        <f>D167+E167+F167</f>
        <v>45</v>
      </c>
    </row>
    <row r="168" spans="1:7" x14ac:dyDescent="0.3">
      <c r="A168">
        <v>439100</v>
      </c>
      <c r="B168">
        <v>17</v>
      </c>
      <c r="C168" t="s">
        <v>2832</v>
      </c>
      <c r="D168">
        <v>0</v>
      </c>
      <c r="E168">
        <v>25</v>
      </c>
      <c r="F168">
        <v>20</v>
      </c>
      <c r="G168">
        <f>D168+E168+F168</f>
        <v>45</v>
      </c>
    </row>
    <row r="169" spans="1:7" x14ac:dyDescent="0.3">
      <c r="A169">
        <v>439100</v>
      </c>
      <c r="B169">
        <v>20</v>
      </c>
      <c r="C169" t="s">
        <v>2796</v>
      </c>
      <c r="D169">
        <v>0</v>
      </c>
      <c r="E169">
        <v>25</v>
      </c>
      <c r="F169">
        <v>20</v>
      </c>
      <c r="G169">
        <f>D169+E169+F169</f>
        <v>45</v>
      </c>
    </row>
    <row r="170" spans="1:7" x14ac:dyDescent="0.3">
      <c r="A170">
        <v>439100</v>
      </c>
      <c r="B170">
        <v>21</v>
      </c>
      <c r="C170" t="s">
        <v>2837</v>
      </c>
      <c r="D170">
        <v>0</v>
      </c>
      <c r="E170">
        <v>25</v>
      </c>
      <c r="F170">
        <v>20</v>
      </c>
      <c r="G170">
        <f>D170+E170+F170</f>
        <v>45</v>
      </c>
    </row>
    <row r="171" spans="1:7" x14ac:dyDescent="0.3">
      <c r="A171">
        <v>439100</v>
      </c>
      <c r="B171">
        <v>29</v>
      </c>
      <c r="C171" t="s">
        <v>2850</v>
      </c>
      <c r="D171">
        <v>0</v>
      </c>
      <c r="E171">
        <v>25</v>
      </c>
      <c r="F171">
        <v>20</v>
      </c>
      <c r="G171">
        <f>D171+E171+F171</f>
        <v>45</v>
      </c>
    </row>
    <row r="172" spans="1:7" x14ac:dyDescent="0.3">
      <c r="A172">
        <v>439100</v>
      </c>
      <c r="B172">
        <v>31</v>
      </c>
      <c r="C172" t="s">
        <v>2860</v>
      </c>
      <c r="D172">
        <v>0</v>
      </c>
      <c r="E172">
        <v>25</v>
      </c>
      <c r="F172">
        <v>20</v>
      </c>
      <c r="G172">
        <f>D172+E172+F172</f>
        <v>45</v>
      </c>
    </row>
    <row r="173" spans="1:7" x14ac:dyDescent="0.3">
      <c r="A173">
        <v>439900</v>
      </c>
      <c r="B173">
        <v>3</v>
      </c>
      <c r="C173" t="s">
        <v>3046</v>
      </c>
      <c r="D173">
        <v>0</v>
      </c>
      <c r="E173">
        <v>25</v>
      </c>
      <c r="F173">
        <v>20</v>
      </c>
      <c r="G173">
        <f>D173+E173+F173</f>
        <v>45</v>
      </c>
    </row>
    <row r="174" spans="1:7" x14ac:dyDescent="0.3">
      <c r="A174">
        <v>439900</v>
      </c>
      <c r="B174">
        <v>4</v>
      </c>
      <c r="C174" t="s">
        <v>3095</v>
      </c>
      <c r="D174">
        <v>0</v>
      </c>
      <c r="E174">
        <v>25</v>
      </c>
      <c r="F174">
        <v>20</v>
      </c>
      <c r="G174">
        <f>D174+E174+F174</f>
        <v>45</v>
      </c>
    </row>
    <row r="175" spans="1:7" x14ac:dyDescent="0.3">
      <c r="A175">
        <v>439900</v>
      </c>
      <c r="B175">
        <v>8</v>
      </c>
      <c r="C175" t="s">
        <v>3061</v>
      </c>
      <c r="D175">
        <v>0</v>
      </c>
      <c r="E175">
        <v>25</v>
      </c>
      <c r="F175">
        <v>20</v>
      </c>
      <c r="G175">
        <f>D175+E175+F175</f>
        <v>45</v>
      </c>
    </row>
    <row r="176" spans="1:7" x14ac:dyDescent="0.3">
      <c r="A176">
        <v>439900</v>
      </c>
      <c r="B176">
        <v>10</v>
      </c>
      <c r="C176" t="s">
        <v>3139</v>
      </c>
      <c r="D176">
        <v>0</v>
      </c>
      <c r="E176">
        <v>25</v>
      </c>
      <c r="F176">
        <v>20</v>
      </c>
      <c r="G176">
        <f>D176+E176+F176</f>
        <v>45</v>
      </c>
    </row>
    <row r="177" spans="1:7" x14ac:dyDescent="0.3">
      <c r="A177">
        <v>439900</v>
      </c>
      <c r="B177">
        <v>11</v>
      </c>
      <c r="C177" t="s">
        <v>3002</v>
      </c>
      <c r="D177">
        <v>0</v>
      </c>
      <c r="E177">
        <v>25</v>
      </c>
      <c r="F177">
        <v>20</v>
      </c>
      <c r="G177">
        <f>D177+E177+F177</f>
        <v>45</v>
      </c>
    </row>
    <row r="178" spans="1:7" x14ac:dyDescent="0.3">
      <c r="A178">
        <v>439900</v>
      </c>
      <c r="B178">
        <v>12</v>
      </c>
      <c r="C178" t="s">
        <v>3128</v>
      </c>
      <c r="D178">
        <v>0</v>
      </c>
      <c r="E178">
        <v>25</v>
      </c>
      <c r="F178">
        <v>20</v>
      </c>
      <c r="G178">
        <f>D178+E178+F178</f>
        <v>45</v>
      </c>
    </row>
    <row r="179" spans="1:7" x14ac:dyDescent="0.3">
      <c r="A179">
        <v>439900</v>
      </c>
      <c r="B179">
        <v>13</v>
      </c>
      <c r="C179" t="s">
        <v>3018</v>
      </c>
      <c r="D179">
        <v>0</v>
      </c>
      <c r="E179">
        <v>25</v>
      </c>
      <c r="F179">
        <v>20</v>
      </c>
      <c r="G179">
        <f>D179+E179+F179</f>
        <v>45</v>
      </c>
    </row>
    <row r="180" spans="1:7" x14ac:dyDescent="0.3">
      <c r="A180">
        <v>439900</v>
      </c>
      <c r="B180">
        <v>14</v>
      </c>
      <c r="C180" t="s">
        <v>3040</v>
      </c>
      <c r="D180">
        <v>0</v>
      </c>
      <c r="E180">
        <v>25</v>
      </c>
      <c r="F180">
        <v>20</v>
      </c>
      <c r="G180">
        <f>D180+E180+F180</f>
        <v>45</v>
      </c>
    </row>
    <row r="181" spans="1:7" x14ac:dyDescent="0.3">
      <c r="A181">
        <v>439900</v>
      </c>
      <c r="B181">
        <v>18</v>
      </c>
      <c r="C181" t="s">
        <v>3066</v>
      </c>
      <c r="D181">
        <v>0</v>
      </c>
      <c r="E181">
        <v>25</v>
      </c>
      <c r="F181">
        <v>20</v>
      </c>
      <c r="G181">
        <f>D181+E181+F181</f>
        <v>45</v>
      </c>
    </row>
    <row r="182" spans="1:7" x14ac:dyDescent="0.3">
      <c r="A182">
        <v>439900</v>
      </c>
      <c r="B182">
        <v>25</v>
      </c>
      <c r="C182" t="s">
        <v>3057</v>
      </c>
      <c r="D182">
        <v>0</v>
      </c>
      <c r="E182">
        <v>25</v>
      </c>
      <c r="F182">
        <v>20</v>
      </c>
      <c r="G182">
        <f>D182+E182+F182</f>
        <v>45</v>
      </c>
    </row>
    <row r="183" spans="1:7" x14ac:dyDescent="0.3">
      <c r="A183">
        <v>439900</v>
      </c>
      <c r="B183">
        <v>27</v>
      </c>
      <c r="C183" t="s">
        <v>3075</v>
      </c>
      <c r="D183">
        <v>0</v>
      </c>
      <c r="E183">
        <v>25</v>
      </c>
      <c r="F183">
        <v>20</v>
      </c>
      <c r="G183">
        <f>D183+E183+F183</f>
        <v>45</v>
      </c>
    </row>
    <row r="184" spans="1:7" x14ac:dyDescent="0.3">
      <c r="A184">
        <v>711210</v>
      </c>
      <c r="B184">
        <v>3</v>
      </c>
      <c r="C184" t="s">
        <v>3340</v>
      </c>
      <c r="D184">
        <v>0</v>
      </c>
      <c r="E184">
        <v>25</v>
      </c>
      <c r="F184">
        <v>20</v>
      </c>
      <c r="G184">
        <f>D184+E184+F184</f>
        <v>45</v>
      </c>
    </row>
    <row r="185" spans="1:7" x14ac:dyDescent="0.3">
      <c r="A185">
        <v>711210</v>
      </c>
      <c r="B185">
        <v>4</v>
      </c>
      <c r="C185" t="s">
        <v>3344</v>
      </c>
      <c r="D185">
        <v>0</v>
      </c>
      <c r="E185">
        <v>25</v>
      </c>
      <c r="F185">
        <v>20</v>
      </c>
      <c r="G185">
        <f>D185+E185+F185</f>
        <v>45</v>
      </c>
    </row>
    <row r="186" spans="1:7" x14ac:dyDescent="0.3">
      <c r="A186">
        <v>711210</v>
      </c>
      <c r="B186">
        <v>5</v>
      </c>
      <c r="C186" t="s">
        <v>3234</v>
      </c>
      <c r="D186">
        <v>0</v>
      </c>
      <c r="E186">
        <v>25</v>
      </c>
      <c r="F186">
        <v>20</v>
      </c>
      <c r="G186">
        <f>D186+E186+F186</f>
        <v>45</v>
      </c>
    </row>
    <row r="187" spans="1:7" x14ac:dyDescent="0.3">
      <c r="A187">
        <v>711210</v>
      </c>
      <c r="B187">
        <v>6</v>
      </c>
      <c r="C187" t="s">
        <v>3394</v>
      </c>
      <c r="D187">
        <v>0</v>
      </c>
      <c r="E187">
        <v>25</v>
      </c>
      <c r="F187">
        <v>20</v>
      </c>
      <c r="G187">
        <f>D187+E187+F187</f>
        <v>45</v>
      </c>
    </row>
    <row r="188" spans="1:7" x14ac:dyDescent="0.3">
      <c r="A188">
        <v>711210</v>
      </c>
      <c r="B188">
        <v>7</v>
      </c>
      <c r="C188" t="s">
        <v>3315</v>
      </c>
      <c r="D188">
        <v>0</v>
      </c>
      <c r="E188">
        <v>25</v>
      </c>
      <c r="F188">
        <v>20</v>
      </c>
      <c r="G188">
        <f>D188+E188+F188</f>
        <v>45</v>
      </c>
    </row>
    <row r="189" spans="1:7" x14ac:dyDescent="0.3">
      <c r="A189">
        <v>711210</v>
      </c>
      <c r="B189">
        <v>8</v>
      </c>
      <c r="C189" t="s">
        <v>3335</v>
      </c>
      <c r="D189">
        <v>0</v>
      </c>
      <c r="E189">
        <v>25</v>
      </c>
      <c r="F189">
        <v>20</v>
      </c>
      <c r="G189">
        <f>D189+E189+F189</f>
        <v>45</v>
      </c>
    </row>
    <row r="190" spans="1:7" x14ac:dyDescent="0.3">
      <c r="A190">
        <v>711210</v>
      </c>
      <c r="B190">
        <v>9</v>
      </c>
      <c r="C190" t="s">
        <v>3302</v>
      </c>
      <c r="D190">
        <v>0</v>
      </c>
      <c r="E190">
        <v>25</v>
      </c>
      <c r="F190">
        <v>20</v>
      </c>
      <c r="G190">
        <f>D190+E190+F190</f>
        <v>45</v>
      </c>
    </row>
    <row r="191" spans="1:7" x14ac:dyDescent="0.3">
      <c r="A191">
        <v>711210</v>
      </c>
      <c r="B191">
        <v>23</v>
      </c>
      <c r="C191" t="s">
        <v>3321</v>
      </c>
      <c r="D191">
        <v>0</v>
      </c>
      <c r="E191">
        <v>25</v>
      </c>
      <c r="F191">
        <v>20</v>
      </c>
      <c r="G191">
        <f>D191+E191+F191</f>
        <v>45</v>
      </c>
    </row>
    <row r="192" spans="1:7" x14ac:dyDescent="0.3">
      <c r="A192">
        <v>711210</v>
      </c>
      <c r="B192">
        <v>24</v>
      </c>
      <c r="C192" t="s">
        <v>3268</v>
      </c>
      <c r="D192">
        <v>0</v>
      </c>
      <c r="E192">
        <v>25</v>
      </c>
      <c r="F192">
        <v>20</v>
      </c>
      <c r="G192">
        <f>D192+E192+F192</f>
        <v>45</v>
      </c>
    </row>
    <row r="193" spans="1:7" x14ac:dyDescent="0.3">
      <c r="A193">
        <v>711210</v>
      </c>
      <c r="B193">
        <v>25</v>
      </c>
      <c r="C193" t="s">
        <v>3285</v>
      </c>
      <c r="D193">
        <v>0</v>
      </c>
      <c r="E193">
        <v>25</v>
      </c>
      <c r="F193">
        <v>20</v>
      </c>
      <c r="G193">
        <f>D193+E193+F193</f>
        <v>45</v>
      </c>
    </row>
    <row r="194" spans="1:7" x14ac:dyDescent="0.3">
      <c r="A194">
        <v>711210</v>
      </c>
      <c r="B194">
        <v>26</v>
      </c>
      <c r="C194" t="s">
        <v>3436</v>
      </c>
      <c r="D194">
        <v>0</v>
      </c>
      <c r="E194">
        <v>25</v>
      </c>
      <c r="F194">
        <v>20</v>
      </c>
      <c r="G194">
        <f>D194+E194+F194</f>
        <v>45</v>
      </c>
    </row>
    <row r="195" spans="1:7" x14ac:dyDescent="0.3">
      <c r="A195">
        <v>711210</v>
      </c>
      <c r="B195">
        <v>27</v>
      </c>
      <c r="C195" t="s">
        <v>3255</v>
      </c>
      <c r="D195">
        <v>0</v>
      </c>
      <c r="E195">
        <v>25</v>
      </c>
      <c r="F195">
        <v>20</v>
      </c>
      <c r="G195">
        <f>D195+E195+F195</f>
        <v>45</v>
      </c>
    </row>
    <row r="196" spans="1:7" x14ac:dyDescent="0.3">
      <c r="A196">
        <v>711210</v>
      </c>
      <c r="B196">
        <v>28</v>
      </c>
      <c r="C196" t="s">
        <v>3249</v>
      </c>
      <c r="D196">
        <v>0</v>
      </c>
      <c r="E196">
        <v>25</v>
      </c>
      <c r="F196">
        <v>20</v>
      </c>
      <c r="G196">
        <f>D196+E196+F196</f>
        <v>45</v>
      </c>
    </row>
    <row r="197" spans="1:7" x14ac:dyDescent="0.3">
      <c r="A197">
        <v>711210</v>
      </c>
      <c r="B197">
        <v>29</v>
      </c>
      <c r="C197" t="s">
        <v>3244</v>
      </c>
      <c r="D197">
        <v>0</v>
      </c>
      <c r="E197">
        <v>25</v>
      </c>
      <c r="F197">
        <v>20</v>
      </c>
      <c r="G197">
        <f>D197+E197+F197</f>
        <v>45</v>
      </c>
    </row>
    <row r="198" spans="1:7" x14ac:dyDescent="0.3">
      <c r="A198">
        <v>711210</v>
      </c>
      <c r="B198">
        <v>30</v>
      </c>
      <c r="C198" t="s">
        <v>3414</v>
      </c>
      <c r="D198">
        <v>0</v>
      </c>
      <c r="E198">
        <v>25</v>
      </c>
      <c r="F198">
        <v>20</v>
      </c>
      <c r="G198">
        <f>D198+E198+F198</f>
        <v>45</v>
      </c>
    </row>
    <row r="199" spans="1:7" x14ac:dyDescent="0.3">
      <c r="A199">
        <v>711210</v>
      </c>
      <c r="B199">
        <v>31</v>
      </c>
      <c r="C199" t="s">
        <v>3409</v>
      </c>
      <c r="D199">
        <v>0</v>
      </c>
      <c r="E199">
        <v>25</v>
      </c>
      <c r="F199">
        <v>20</v>
      </c>
      <c r="G199">
        <f>D199+E199+F199</f>
        <v>45</v>
      </c>
    </row>
    <row r="200" spans="1:7" x14ac:dyDescent="0.3">
      <c r="A200">
        <v>711210</v>
      </c>
      <c r="B200">
        <v>32</v>
      </c>
      <c r="C200" t="s">
        <v>3307</v>
      </c>
      <c r="D200">
        <v>0</v>
      </c>
      <c r="E200">
        <v>25</v>
      </c>
      <c r="F200">
        <v>20</v>
      </c>
      <c r="G200">
        <f>D200+E200+F200</f>
        <v>45</v>
      </c>
    </row>
    <row r="201" spans="1:7" x14ac:dyDescent="0.3">
      <c r="A201">
        <v>711210</v>
      </c>
      <c r="B201">
        <v>33</v>
      </c>
      <c r="C201" t="s">
        <v>3259</v>
      </c>
      <c r="D201">
        <v>0</v>
      </c>
      <c r="E201">
        <v>25</v>
      </c>
      <c r="F201">
        <v>20</v>
      </c>
      <c r="G201">
        <f>D201+E201+F201</f>
        <v>45</v>
      </c>
    </row>
    <row r="202" spans="1:7" x14ac:dyDescent="0.3">
      <c r="A202">
        <v>711210</v>
      </c>
      <c r="B202">
        <v>34</v>
      </c>
      <c r="C202" t="s">
        <v>3296</v>
      </c>
      <c r="D202">
        <v>0</v>
      </c>
      <c r="E202">
        <v>25</v>
      </c>
      <c r="F202">
        <v>20</v>
      </c>
      <c r="G202">
        <f>D202+E202+F202</f>
        <v>45</v>
      </c>
    </row>
    <row r="203" spans="1:7" x14ac:dyDescent="0.3">
      <c r="A203">
        <v>711210</v>
      </c>
      <c r="B203">
        <v>35</v>
      </c>
      <c r="C203" t="s">
        <v>3312</v>
      </c>
      <c r="D203">
        <v>0</v>
      </c>
      <c r="E203">
        <v>25</v>
      </c>
      <c r="F203">
        <v>20</v>
      </c>
      <c r="G203">
        <f>D203+E203+F203</f>
        <v>45</v>
      </c>
    </row>
    <row r="204" spans="1:7" x14ac:dyDescent="0.3">
      <c r="A204">
        <v>711210</v>
      </c>
      <c r="B204">
        <v>36</v>
      </c>
      <c r="C204" t="s">
        <v>3420</v>
      </c>
      <c r="D204">
        <v>0</v>
      </c>
      <c r="E204">
        <v>25</v>
      </c>
      <c r="F204">
        <v>20</v>
      </c>
      <c r="G204">
        <f>D204+E204+F204</f>
        <v>45</v>
      </c>
    </row>
    <row r="205" spans="1:7" x14ac:dyDescent="0.3">
      <c r="A205">
        <v>711210</v>
      </c>
      <c r="B205">
        <v>37</v>
      </c>
      <c r="C205" t="s">
        <v>3239</v>
      </c>
      <c r="D205">
        <v>0</v>
      </c>
      <c r="E205">
        <v>25</v>
      </c>
      <c r="F205">
        <v>20</v>
      </c>
      <c r="G205">
        <f>D205+E205+F205</f>
        <v>45</v>
      </c>
    </row>
    <row r="206" spans="1:7" x14ac:dyDescent="0.3">
      <c r="A206">
        <v>711210</v>
      </c>
      <c r="B206">
        <v>38</v>
      </c>
      <c r="C206" t="s">
        <v>3364</v>
      </c>
      <c r="D206">
        <v>0</v>
      </c>
      <c r="E206">
        <v>25</v>
      </c>
      <c r="F206">
        <v>20</v>
      </c>
      <c r="G206">
        <f>D206+E206+F206</f>
        <v>45</v>
      </c>
    </row>
    <row r="207" spans="1:7" x14ac:dyDescent="0.3">
      <c r="A207">
        <v>711240</v>
      </c>
      <c r="B207">
        <v>4</v>
      </c>
      <c r="C207" t="s">
        <v>3480</v>
      </c>
      <c r="D207">
        <v>0</v>
      </c>
      <c r="E207">
        <v>25</v>
      </c>
      <c r="F207">
        <v>20</v>
      </c>
      <c r="G207">
        <f>D207+E207+F207</f>
        <v>45</v>
      </c>
    </row>
    <row r="208" spans="1:7" x14ac:dyDescent="0.3">
      <c r="A208">
        <v>711240</v>
      </c>
      <c r="B208">
        <v>5</v>
      </c>
      <c r="C208" t="s">
        <v>3490</v>
      </c>
      <c r="D208">
        <v>0</v>
      </c>
      <c r="E208">
        <v>25</v>
      </c>
      <c r="F208">
        <v>20</v>
      </c>
      <c r="G208">
        <f>D208+E208+F208</f>
        <v>45</v>
      </c>
    </row>
    <row r="209" spans="1:7" x14ac:dyDescent="0.3">
      <c r="A209">
        <v>711240</v>
      </c>
      <c r="B209">
        <v>6</v>
      </c>
      <c r="C209" t="s">
        <v>3488</v>
      </c>
      <c r="D209">
        <v>0</v>
      </c>
      <c r="E209">
        <v>25</v>
      </c>
      <c r="F209">
        <v>20</v>
      </c>
      <c r="G209">
        <f>D209+E209+F209</f>
        <v>45</v>
      </c>
    </row>
    <row r="210" spans="1:7" x14ac:dyDescent="0.3">
      <c r="A210">
        <v>711290</v>
      </c>
      <c r="B210">
        <v>6</v>
      </c>
      <c r="C210" t="s">
        <v>3551</v>
      </c>
      <c r="D210">
        <v>0</v>
      </c>
      <c r="E210">
        <v>25</v>
      </c>
      <c r="F210">
        <v>20</v>
      </c>
      <c r="G210">
        <f>D210+E210+F210</f>
        <v>45</v>
      </c>
    </row>
    <row r="211" spans="1:7" x14ac:dyDescent="0.3">
      <c r="A211">
        <v>711290</v>
      </c>
      <c r="B211">
        <v>3</v>
      </c>
      <c r="C211" t="s">
        <v>3535</v>
      </c>
      <c r="D211">
        <v>23</v>
      </c>
      <c r="E211">
        <v>10</v>
      </c>
      <c r="F211">
        <v>10</v>
      </c>
      <c r="G211">
        <f>D211+E211+F211</f>
        <v>43</v>
      </c>
    </row>
    <row r="212" spans="1:7" x14ac:dyDescent="0.3">
      <c r="A212">
        <v>431100</v>
      </c>
      <c r="B212">
        <v>5</v>
      </c>
      <c r="C212" t="s">
        <v>1301</v>
      </c>
      <c r="D212">
        <v>21</v>
      </c>
      <c r="E212">
        <v>10</v>
      </c>
      <c r="F212">
        <v>10</v>
      </c>
      <c r="G212">
        <f>D212+E212+F212</f>
        <v>41</v>
      </c>
    </row>
    <row r="213" spans="1:7" x14ac:dyDescent="0.3">
      <c r="A213">
        <v>410000</v>
      </c>
      <c r="B213">
        <v>36</v>
      </c>
      <c r="C213" t="s">
        <v>97</v>
      </c>
      <c r="D213">
        <v>20</v>
      </c>
      <c r="E213">
        <v>10</v>
      </c>
      <c r="F213">
        <v>10</v>
      </c>
      <c r="G213">
        <f>D213+E213+F213</f>
        <v>40</v>
      </c>
    </row>
    <row r="214" spans="1:7" x14ac:dyDescent="0.3">
      <c r="A214">
        <v>410000</v>
      </c>
      <c r="B214">
        <v>37</v>
      </c>
      <c r="C214" t="s">
        <v>523</v>
      </c>
      <c r="D214">
        <v>20</v>
      </c>
      <c r="E214">
        <v>10</v>
      </c>
      <c r="F214">
        <v>10</v>
      </c>
      <c r="G214">
        <f>D214+E214+F214</f>
        <v>40</v>
      </c>
    </row>
    <row r="215" spans="1:7" x14ac:dyDescent="0.3">
      <c r="A215">
        <v>422100</v>
      </c>
      <c r="B215">
        <v>7</v>
      </c>
      <c r="C215" t="s">
        <v>1057</v>
      </c>
      <c r="D215">
        <v>20</v>
      </c>
      <c r="E215">
        <v>10</v>
      </c>
      <c r="F215">
        <v>10</v>
      </c>
      <c r="G215">
        <f>D215+E215+F215</f>
        <v>40</v>
      </c>
    </row>
    <row r="216" spans="1:7" x14ac:dyDescent="0.3">
      <c r="A216">
        <v>431200</v>
      </c>
      <c r="B216">
        <v>6</v>
      </c>
      <c r="C216" t="s">
        <v>1377</v>
      </c>
      <c r="D216">
        <v>19</v>
      </c>
      <c r="E216">
        <v>10</v>
      </c>
      <c r="F216">
        <v>10</v>
      </c>
      <c r="G216">
        <f>D216+E216+F216</f>
        <v>39</v>
      </c>
    </row>
    <row r="217" spans="1:7" x14ac:dyDescent="0.3">
      <c r="A217">
        <v>410000</v>
      </c>
      <c r="B217">
        <v>39</v>
      </c>
      <c r="C217" t="s">
        <v>660</v>
      </c>
      <c r="D217">
        <v>18</v>
      </c>
      <c r="E217">
        <v>10</v>
      </c>
      <c r="F217">
        <v>10</v>
      </c>
      <c r="G217">
        <f>D217+E217+F217</f>
        <v>38</v>
      </c>
    </row>
    <row r="218" spans="1:7" x14ac:dyDescent="0.3">
      <c r="A218">
        <v>431100</v>
      </c>
      <c r="B218">
        <v>8</v>
      </c>
      <c r="C218" t="s">
        <v>1277</v>
      </c>
      <c r="D218">
        <v>18</v>
      </c>
      <c r="E218">
        <v>10</v>
      </c>
      <c r="F218">
        <v>10</v>
      </c>
      <c r="G218">
        <f>D218+E218+F218</f>
        <v>38</v>
      </c>
    </row>
    <row r="219" spans="1:7" x14ac:dyDescent="0.3">
      <c r="A219">
        <v>410000</v>
      </c>
      <c r="B219">
        <v>40</v>
      </c>
      <c r="C219" t="s">
        <v>677</v>
      </c>
      <c r="D219">
        <v>17</v>
      </c>
      <c r="E219">
        <v>10</v>
      </c>
      <c r="F219">
        <v>10</v>
      </c>
      <c r="G219">
        <f>D219+E219+F219</f>
        <v>37</v>
      </c>
    </row>
    <row r="220" spans="1:7" x14ac:dyDescent="0.3">
      <c r="A220">
        <v>410000</v>
      </c>
      <c r="B220">
        <v>41</v>
      </c>
      <c r="C220" t="s">
        <v>247</v>
      </c>
      <c r="D220">
        <v>17</v>
      </c>
      <c r="E220">
        <v>10</v>
      </c>
      <c r="F220">
        <v>10</v>
      </c>
      <c r="G220">
        <f>D220+E220+F220</f>
        <v>37</v>
      </c>
    </row>
    <row r="221" spans="1:7" x14ac:dyDescent="0.3">
      <c r="A221">
        <v>432200</v>
      </c>
      <c r="B221">
        <v>11</v>
      </c>
      <c r="C221" t="s">
        <v>1773</v>
      </c>
      <c r="D221">
        <v>17</v>
      </c>
      <c r="E221">
        <v>10</v>
      </c>
      <c r="F221">
        <v>10</v>
      </c>
      <c r="G221">
        <f>D221+E221+F221</f>
        <v>37</v>
      </c>
    </row>
    <row r="222" spans="1:7" x14ac:dyDescent="0.3">
      <c r="A222">
        <v>681200</v>
      </c>
      <c r="B222">
        <v>6</v>
      </c>
      <c r="C222" t="s">
        <v>3212</v>
      </c>
      <c r="D222">
        <v>17</v>
      </c>
      <c r="E222">
        <v>10</v>
      </c>
      <c r="F222">
        <v>10</v>
      </c>
      <c r="G222">
        <f>D222+E222+F222</f>
        <v>37</v>
      </c>
    </row>
    <row r="223" spans="1:7" x14ac:dyDescent="0.3">
      <c r="A223">
        <v>410000</v>
      </c>
      <c r="B223">
        <v>22</v>
      </c>
      <c r="C223" t="s">
        <v>542</v>
      </c>
      <c r="D223">
        <v>16</v>
      </c>
      <c r="E223">
        <v>10</v>
      </c>
      <c r="F223">
        <v>10</v>
      </c>
      <c r="G223">
        <f>D223+E223+F223</f>
        <v>36</v>
      </c>
    </row>
    <row r="224" spans="1:7" x14ac:dyDescent="0.3">
      <c r="A224">
        <v>410000</v>
      </c>
      <c r="B224">
        <v>17</v>
      </c>
      <c r="C224" t="s">
        <v>126</v>
      </c>
      <c r="D224">
        <v>0</v>
      </c>
      <c r="E224">
        <v>25</v>
      </c>
      <c r="F224">
        <v>10</v>
      </c>
      <c r="G224">
        <f>D224+E224+F224</f>
        <v>35</v>
      </c>
    </row>
    <row r="225" spans="1:7" x14ac:dyDescent="0.3">
      <c r="A225">
        <v>410000</v>
      </c>
      <c r="B225">
        <v>19</v>
      </c>
      <c r="C225" t="s">
        <v>612</v>
      </c>
      <c r="D225">
        <v>0</v>
      </c>
      <c r="E225">
        <v>25</v>
      </c>
      <c r="F225">
        <v>10</v>
      </c>
      <c r="G225">
        <f>D225+E225+F225</f>
        <v>35</v>
      </c>
    </row>
    <row r="226" spans="1:7" x14ac:dyDescent="0.3">
      <c r="A226">
        <v>410000</v>
      </c>
      <c r="B226">
        <v>42</v>
      </c>
      <c r="C226" t="s">
        <v>332</v>
      </c>
      <c r="D226">
        <v>15</v>
      </c>
      <c r="E226">
        <v>10</v>
      </c>
      <c r="F226">
        <v>10</v>
      </c>
      <c r="G226">
        <f>D226+E226+F226</f>
        <v>35</v>
      </c>
    </row>
    <row r="227" spans="1:7" x14ac:dyDescent="0.3">
      <c r="A227">
        <v>410000</v>
      </c>
      <c r="B227">
        <v>43</v>
      </c>
      <c r="C227" t="s">
        <v>112</v>
      </c>
      <c r="D227">
        <v>15</v>
      </c>
      <c r="E227">
        <v>10</v>
      </c>
      <c r="F227">
        <v>10</v>
      </c>
      <c r="G227">
        <f>D227+E227+F227</f>
        <v>35</v>
      </c>
    </row>
    <row r="228" spans="1:7" x14ac:dyDescent="0.3">
      <c r="A228">
        <v>410000</v>
      </c>
      <c r="B228">
        <v>52</v>
      </c>
      <c r="C228" t="s">
        <v>177</v>
      </c>
      <c r="D228">
        <v>0</v>
      </c>
      <c r="E228">
        <v>25</v>
      </c>
      <c r="F228">
        <v>10</v>
      </c>
      <c r="G228">
        <f>D228+E228+F228</f>
        <v>35</v>
      </c>
    </row>
    <row r="229" spans="1:7" x14ac:dyDescent="0.3">
      <c r="A229">
        <v>410000</v>
      </c>
      <c r="B229">
        <v>58</v>
      </c>
      <c r="C229" t="s">
        <v>37</v>
      </c>
      <c r="D229">
        <v>0</v>
      </c>
      <c r="E229">
        <v>25</v>
      </c>
      <c r="F229">
        <v>10</v>
      </c>
      <c r="G229">
        <f>D229+E229+F229</f>
        <v>35</v>
      </c>
    </row>
    <row r="230" spans="1:7" x14ac:dyDescent="0.3">
      <c r="A230">
        <v>410000</v>
      </c>
      <c r="B230">
        <v>60</v>
      </c>
      <c r="C230" t="s">
        <v>262</v>
      </c>
      <c r="D230">
        <v>0</v>
      </c>
      <c r="E230">
        <v>25</v>
      </c>
      <c r="F230">
        <v>10</v>
      </c>
      <c r="G230">
        <f>D230+E230+F230</f>
        <v>35</v>
      </c>
    </row>
    <row r="231" spans="1:7" x14ac:dyDescent="0.3">
      <c r="A231">
        <v>410000</v>
      </c>
      <c r="B231">
        <v>65</v>
      </c>
      <c r="C231" t="s">
        <v>269</v>
      </c>
      <c r="D231">
        <v>0</v>
      </c>
      <c r="E231">
        <v>25</v>
      </c>
      <c r="F231">
        <v>10</v>
      </c>
      <c r="G231">
        <f>D231+E231+F231</f>
        <v>35</v>
      </c>
    </row>
    <row r="232" spans="1:7" x14ac:dyDescent="0.3">
      <c r="A232">
        <v>410000</v>
      </c>
      <c r="B232">
        <v>67</v>
      </c>
      <c r="C232" t="s">
        <v>276</v>
      </c>
      <c r="D232">
        <v>0</v>
      </c>
      <c r="E232">
        <v>25</v>
      </c>
      <c r="F232">
        <v>10</v>
      </c>
      <c r="G232">
        <f>D232+E232+F232</f>
        <v>35</v>
      </c>
    </row>
    <row r="233" spans="1:7" x14ac:dyDescent="0.3">
      <c r="A233">
        <v>410000</v>
      </c>
      <c r="B233">
        <v>72</v>
      </c>
      <c r="C233" t="s">
        <v>584</v>
      </c>
      <c r="D233">
        <v>0</v>
      </c>
      <c r="E233">
        <v>25</v>
      </c>
      <c r="F233">
        <v>10</v>
      </c>
      <c r="G233">
        <f>D233+E233+F233</f>
        <v>35</v>
      </c>
    </row>
    <row r="234" spans="1:7" x14ac:dyDescent="0.3">
      <c r="A234">
        <v>410000</v>
      </c>
      <c r="B234">
        <v>74</v>
      </c>
      <c r="C234" t="s">
        <v>69</v>
      </c>
      <c r="D234">
        <v>0</v>
      </c>
      <c r="E234">
        <v>25</v>
      </c>
      <c r="F234">
        <v>10</v>
      </c>
      <c r="G234">
        <f>D234+E234+F234</f>
        <v>35</v>
      </c>
    </row>
    <row r="235" spans="1:7" x14ac:dyDescent="0.3">
      <c r="A235">
        <v>410000</v>
      </c>
      <c r="B235">
        <v>78</v>
      </c>
      <c r="C235" t="s">
        <v>490</v>
      </c>
      <c r="D235">
        <v>0</v>
      </c>
      <c r="E235">
        <v>25</v>
      </c>
      <c r="F235">
        <v>10</v>
      </c>
      <c r="G235">
        <f>D235+E235+F235</f>
        <v>35</v>
      </c>
    </row>
    <row r="236" spans="1:7" x14ac:dyDescent="0.3">
      <c r="A236">
        <v>410000</v>
      </c>
      <c r="B236">
        <v>79</v>
      </c>
      <c r="C236" t="s">
        <v>283</v>
      </c>
      <c r="D236">
        <v>0</v>
      </c>
      <c r="E236">
        <v>25</v>
      </c>
      <c r="F236">
        <v>10</v>
      </c>
      <c r="G236">
        <f>D236+E236+F236</f>
        <v>35</v>
      </c>
    </row>
    <row r="237" spans="1:7" x14ac:dyDescent="0.3">
      <c r="A237">
        <v>410000</v>
      </c>
      <c r="B237">
        <v>81</v>
      </c>
      <c r="C237" t="s">
        <v>227</v>
      </c>
      <c r="D237">
        <v>0</v>
      </c>
      <c r="E237">
        <v>25</v>
      </c>
      <c r="F237">
        <v>10</v>
      </c>
      <c r="G237">
        <f>D237+E237+F237</f>
        <v>35</v>
      </c>
    </row>
    <row r="238" spans="1:7" x14ac:dyDescent="0.3">
      <c r="A238">
        <v>410000</v>
      </c>
      <c r="B238">
        <v>84</v>
      </c>
      <c r="C238" t="s">
        <v>316</v>
      </c>
      <c r="D238">
        <v>0</v>
      </c>
      <c r="E238">
        <v>25</v>
      </c>
      <c r="F238">
        <v>10</v>
      </c>
      <c r="G238">
        <f>D238+E238+F238</f>
        <v>35</v>
      </c>
    </row>
    <row r="239" spans="1:7" x14ac:dyDescent="0.3">
      <c r="A239">
        <v>410000</v>
      </c>
      <c r="B239">
        <v>86</v>
      </c>
      <c r="C239" t="s">
        <v>406</v>
      </c>
      <c r="D239">
        <v>0</v>
      </c>
      <c r="E239">
        <v>25</v>
      </c>
      <c r="F239">
        <v>10</v>
      </c>
      <c r="G239">
        <f>D239+E239+F239</f>
        <v>35</v>
      </c>
    </row>
    <row r="240" spans="1:7" x14ac:dyDescent="0.3">
      <c r="A240">
        <v>410000</v>
      </c>
      <c r="B240">
        <v>88</v>
      </c>
      <c r="C240" t="s">
        <v>371</v>
      </c>
      <c r="D240">
        <v>0</v>
      </c>
      <c r="E240">
        <v>25</v>
      </c>
      <c r="F240">
        <v>10</v>
      </c>
      <c r="G240">
        <f>D240+E240+F240</f>
        <v>35</v>
      </c>
    </row>
    <row r="241" spans="1:7" x14ac:dyDescent="0.3">
      <c r="A241">
        <v>410000</v>
      </c>
      <c r="B241">
        <v>95</v>
      </c>
      <c r="C241" t="s">
        <v>239</v>
      </c>
      <c r="D241">
        <v>0</v>
      </c>
      <c r="E241">
        <v>25</v>
      </c>
      <c r="F241">
        <v>10</v>
      </c>
      <c r="G241">
        <f>D241+E241+F241</f>
        <v>35</v>
      </c>
    </row>
    <row r="242" spans="1:7" x14ac:dyDescent="0.3">
      <c r="A242">
        <v>410000</v>
      </c>
      <c r="B242">
        <v>97</v>
      </c>
      <c r="C242" t="s">
        <v>550</v>
      </c>
      <c r="D242">
        <v>0</v>
      </c>
      <c r="E242">
        <v>25</v>
      </c>
      <c r="F242">
        <v>10</v>
      </c>
      <c r="G242">
        <f>D242+E242+F242</f>
        <v>35</v>
      </c>
    </row>
    <row r="243" spans="1:7" x14ac:dyDescent="0.3">
      <c r="A243">
        <v>410000</v>
      </c>
      <c r="B243">
        <v>101</v>
      </c>
      <c r="C243" t="s">
        <v>696</v>
      </c>
      <c r="D243">
        <v>0</v>
      </c>
      <c r="E243">
        <v>25</v>
      </c>
      <c r="F243">
        <v>10</v>
      </c>
      <c r="G243">
        <f>D243+E243+F243</f>
        <v>35</v>
      </c>
    </row>
    <row r="244" spans="1:7" x14ac:dyDescent="0.3">
      <c r="A244">
        <v>410000</v>
      </c>
      <c r="B244">
        <v>103</v>
      </c>
      <c r="C244" t="s">
        <v>377</v>
      </c>
      <c r="D244">
        <v>0</v>
      </c>
      <c r="E244">
        <v>25</v>
      </c>
      <c r="F244">
        <v>10</v>
      </c>
      <c r="G244">
        <f>D244+E244+F244</f>
        <v>35</v>
      </c>
    </row>
    <row r="245" spans="1:7" x14ac:dyDescent="0.3">
      <c r="A245">
        <v>410000</v>
      </c>
      <c r="B245">
        <v>104</v>
      </c>
      <c r="C245" t="s">
        <v>469</v>
      </c>
      <c r="D245">
        <v>0</v>
      </c>
      <c r="E245">
        <v>25</v>
      </c>
      <c r="F245">
        <v>10</v>
      </c>
      <c r="G245">
        <f>D245+E245+F245</f>
        <v>35</v>
      </c>
    </row>
    <row r="246" spans="1:7" x14ac:dyDescent="0.3">
      <c r="A246">
        <v>421100</v>
      </c>
      <c r="B246">
        <v>3</v>
      </c>
      <c r="C246" t="s">
        <v>887</v>
      </c>
      <c r="D246">
        <v>0</v>
      </c>
      <c r="E246">
        <v>25</v>
      </c>
      <c r="F246">
        <v>10</v>
      </c>
      <c r="G246">
        <f>D246+E246+F246</f>
        <v>35</v>
      </c>
    </row>
    <row r="247" spans="1:7" x14ac:dyDescent="0.3">
      <c r="A247">
        <v>422100</v>
      </c>
      <c r="B247">
        <v>3</v>
      </c>
      <c r="C247" t="s">
        <v>1152</v>
      </c>
      <c r="D247">
        <v>0</v>
      </c>
      <c r="E247">
        <v>25</v>
      </c>
      <c r="F247">
        <v>10</v>
      </c>
      <c r="G247">
        <f>D247+E247+F247</f>
        <v>35</v>
      </c>
    </row>
    <row r="248" spans="1:7" x14ac:dyDescent="0.3">
      <c r="A248">
        <v>422100</v>
      </c>
      <c r="B248">
        <v>17</v>
      </c>
      <c r="C248" t="s">
        <v>1192</v>
      </c>
      <c r="D248">
        <v>0</v>
      </c>
      <c r="E248">
        <v>25</v>
      </c>
      <c r="F248">
        <v>10</v>
      </c>
      <c r="G248">
        <f>D248+E248+F248</f>
        <v>35</v>
      </c>
    </row>
    <row r="249" spans="1:7" x14ac:dyDescent="0.3">
      <c r="A249">
        <v>422100</v>
      </c>
      <c r="B249">
        <v>18</v>
      </c>
      <c r="C249" t="s">
        <v>1101</v>
      </c>
      <c r="D249">
        <v>0</v>
      </c>
      <c r="E249">
        <v>25</v>
      </c>
      <c r="F249">
        <v>10</v>
      </c>
      <c r="G249">
        <f>D249+E249+F249</f>
        <v>35</v>
      </c>
    </row>
    <row r="250" spans="1:7" x14ac:dyDescent="0.3">
      <c r="A250">
        <v>422100</v>
      </c>
      <c r="B250">
        <v>19</v>
      </c>
      <c r="C250" t="s">
        <v>977</v>
      </c>
      <c r="D250">
        <v>0</v>
      </c>
      <c r="E250">
        <v>25</v>
      </c>
      <c r="F250">
        <v>10</v>
      </c>
      <c r="G250">
        <f>D250+E250+F250</f>
        <v>35</v>
      </c>
    </row>
    <row r="251" spans="1:7" x14ac:dyDescent="0.3">
      <c r="A251">
        <v>422100</v>
      </c>
      <c r="B251">
        <v>20</v>
      </c>
      <c r="C251" t="s">
        <v>984</v>
      </c>
      <c r="D251">
        <v>0</v>
      </c>
      <c r="E251">
        <v>25</v>
      </c>
      <c r="F251">
        <v>10</v>
      </c>
      <c r="G251">
        <f>D251+E251+F251</f>
        <v>35</v>
      </c>
    </row>
    <row r="252" spans="1:7" x14ac:dyDescent="0.3">
      <c r="A252">
        <v>422100</v>
      </c>
      <c r="B252">
        <v>21</v>
      </c>
      <c r="C252" t="s">
        <v>959</v>
      </c>
      <c r="D252">
        <v>0</v>
      </c>
      <c r="E252">
        <v>25</v>
      </c>
      <c r="F252">
        <v>10</v>
      </c>
      <c r="G252">
        <f>D252+E252+F252</f>
        <v>35</v>
      </c>
    </row>
    <row r="253" spans="1:7" x14ac:dyDescent="0.3">
      <c r="A253">
        <v>422100</v>
      </c>
      <c r="B253">
        <v>24</v>
      </c>
      <c r="C253" t="s">
        <v>1062</v>
      </c>
      <c r="D253">
        <v>0</v>
      </c>
      <c r="E253">
        <v>25</v>
      </c>
      <c r="F253">
        <v>10</v>
      </c>
      <c r="G253">
        <f>D253+E253+F253</f>
        <v>35</v>
      </c>
    </row>
    <row r="254" spans="1:7" x14ac:dyDescent="0.3">
      <c r="A254">
        <v>422100</v>
      </c>
      <c r="B254">
        <v>25</v>
      </c>
      <c r="C254" t="s">
        <v>966</v>
      </c>
      <c r="D254">
        <v>0</v>
      </c>
      <c r="E254">
        <v>25</v>
      </c>
      <c r="F254">
        <v>10</v>
      </c>
      <c r="G254">
        <f>D254+E254+F254</f>
        <v>35</v>
      </c>
    </row>
    <row r="255" spans="1:7" x14ac:dyDescent="0.3">
      <c r="A255">
        <v>422100</v>
      </c>
      <c r="B255">
        <v>26</v>
      </c>
      <c r="C255" t="s">
        <v>1045</v>
      </c>
      <c r="D255">
        <v>0</v>
      </c>
      <c r="E255">
        <v>25</v>
      </c>
      <c r="F255">
        <v>10</v>
      </c>
      <c r="G255">
        <f>D255+E255+F255</f>
        <v>35</v>
      </c>
    </row>
    <row r="256" spans="1:7" x14ac:dyDescent="0.3">
      <c r="A256">
        <v>422100</v>
      </c>
      <c r="B256">
        <v>27</v>
      </c>
      <c r="C256" t="s">
        <v>941</v>
      </c>
      <c r="D256">
        <v>0</v>
      </c>
      <c r="E256">
        <v>25</v>
      </c>
      <c r="F256">
        <v>10</v>
      </c>
      <c r="G256">
        <f>D256+E256+F256</f>
        <v>35</v>
      </c>
    </row>
    <row r="257" spans="1:7" x14ac:dyDescent="0.3">
      <c r="A257">
        <v>422100</v>
      </c>
      <c r="B257">
        <v>28</v>
      </c>
      <c r="C257" t="s">
        <v>1073</v>
      </c>
      <c r="D257">
        <v>0</v>
      </c>
      <c r="E257">
        <v>25</v>
      </c>
      <c r="F257">
        <v>10</v>
      </c>
      <c r="G257">
        <f>D257+E257+F257</f>
        <v>35</v>
      </c>
    </row>
    <row r="258" spans="1:7" x14ac:dyDescent="0.3">
      <c r="A258">
        <v>422100</v>
      </c>
      <c r="B258">
        <v>29</v>
      </c>
      <c r="C258" t="s">
        <v>947</v>
      </c>
      <c r="D258">
        <v>0</v>
      </c>
      <c r="E258">
        <v>25</v>
      </c>
      <c r="F258">
        <v>10</v>
      </c>
      <c r="G258">
        <f>D258+E258+F258</f>
        <v>35</v>
      </c>
    </row>
    <row r="259" spans="1:7" x14ac:dyDescent="0.3">
      <c r="A259">
        <v>422100</v>
      </c>
      <c r="B259">
        <v>30</v>
      </c>
      <c r="C259" t="s">
        <v>1066</v>
      </c>
      <c r="D259">
        <v>0</v>
      </c>
      <c r="E259">
        <v>25</v>
      </c>
      <c r="F259">
        <v>10</v>
      </c>
      <c r="G259">
        <f>D259+E259+F259</f>
        <v>35</v>
      </c>
    </row>
    <row r="260" spans="1:7" x14ac:dyDescent="0.3">
      <c r="A260">
        <v>422100</v>
      </c>
      <c r="B260">
        <v>32</v>
      </c>
      <c r="C260" t="s">
        <v>1144</v>
      </c>
      <c r="D260">
        <v>0</v>
      </c>
      <c r="E260">
        <v>25</v>
      </c>
      <c r="F260">
        <v>10</v>
      </c>
      <c r="G260">
        <f>D260+E260+F260</f>
        <v>35</v>
      </c>
    </row>
    <row r="261" spans="1:7" x14ac:dyDescent="0.3">
      <c r="A261">
        <v>422100</v>
      </c>
      <c r="B261">
        <v>34</v>
      </c>
      <c r="C261" t="s">
        <v>1108</v>
      </c>
      <c r="D261">
        <v>0</v>
      </c>
      <c r="E261">
        <v>25</v>
      </c>
      <c r="F261">
        <v>10</v>
      </c>
      <c r="G261">
        <f>D261+E261+F261</f>
        <v>35</v>
      </c>
    </row>
    <row r="262" spans="1:7" x14ac:dyDescent="0.3">
      <c r="A262">
        <v>422100</v>
      </c>
      <c r="B262">
        <v>35</v>
      </c>
      <c r="C262" t="s">
        <v>936</v>
      </c>
      <c r="D262">
        <v>0</v>
      </c>
      <c r="E262">
        <v>25</v>
      </c>
      <c r="F262">
        <v>10</v>
      </c>
      <c r="G262">
        <f>D262+E262+F262</f>
        <v>35</v>
      </c>
    </row>
    <row r="263" spans="1:7" x14ac:dyDescent="0.3">
      <c r="A263">
        <v>422100</v>
      </c>
      <c r="B263">
        <v>36</v>
      </c>
      <c r="C263" t="s">
        <v>989</v>
      </c>
      <c r="D263">
        <v>0</v>
      </c>
      <c r="E263">
        <v>25</v>
      </c>
      <c r="F263">
        <v>10</v>
      </c>
      <c r="G263">
        <f>D263+E263+F263</f>
        <v>35</v>
      </c>
    </row>
    <row r="264" spans="1:7" x14ac:dyDescent="0.3">
      <c r="A264">
        <v>422100</v>
      </c>
      <c r="B264">
        <v>37</v>
      </c>
      <c r="C264" t="s">
        <v>1008</v>
      </c>
      <c r="D264">
        <v>0</v>
      </c>
      <c r="E264">
        <v>25</v>
      </c>
      <c r="F264">
        <v>10</v>
      </c>
      <c r="G264">
        <f>D264+E264+F264</f>
        <v>35</v>
      </c>
    </row>
    <row r="265" spans="1:7" x14ac:dyDescent="0.3">
      <c r="A265">
        <v>422100</v>
      </c>
      <c r="B265">
        <v>39</v>
      </c>
      <c r="C265" t="s">
        <v>953</v>
      </c>
      <c r="D265">
        <v>0</v>
      </c>
      <c r="E265">
        <v>25</v>
      </c>
      <c r="F265">
        <v>10</v>
      </c>
      <c r="G265">
        <f>D265+E265+F265</f>
        <v>35</v>
      </c>
    </row>
    <row r="266" spans="1:7" x14ac:dyDescent="0.3">
      <c r="A266">
        <v>422100</v>
      </c>
      <c r="B266">
        <v>40</v>
      </c>
      <c r="C266" t="s">
        <v>1159</v>
      </c>
      <c r="D266">
        <v>0</v>
      </c>
      <c r="E266">
        <v>25</v>
      </c>
      <c r="F266">
        <v>10</v>
      </c>
      <c r="G266">
        <f>D266+E266+F266</f>
        <v>35</v>
      </c>
    </row>
    <row r="267" spans="1:7" x14ac:dyDescent="0.3">
      <c r="A267">
        <v>422100</v>
      </c>
      <c r="B267">
        <v>41</v>
      </c>
      <c r="C267" t="s">
        <v>973</v>
      </c>
      <c r="D267">
        <v>0</v>
      </c>
      <c r="E267">
        <v>25</v>
      </c>
      <c r="F267">
        <v>10</v>
      </c>
      <c r="G267">
        <f>D267+E267+F267</f>
        <v>35</v>
      </c>
    </row>
    <row r="268" spans="1:7" x14ac:dyDescent="0.3">
      <c r="A268">
        <v>422100</v>
      </c>
      <c r="B268">
        <v>42</v>
      </c>
      <c r="C268" t="s">
        <v>1016</v>
      </c>
      <c r="D268">
        <v>0</v>
      </c>
      <c r="E268">
        <v>25</v>
      </c>
      <c r="F268">
        <v>10</v>
      </c>
      <c r="G268">
        <f>D268+E268+F268</f>
        <v>35</v>
      </c>
    </row>
    <row r="269" spans="1:7" x14ac:dyDescent="0.3">
      <c r="A269">
        <v>431200</v>
      </c>
      <c r="B269">
        <v>3</v>
      </c>
      <c r="C269" t="s">
        <v>1389</v>
      </c>
      <c r="D269">
        <v>0</v>
      </c>
      <c r="E269">
        <v>25</v>
      </c>
      <c r="F269">
        <v>10</v>
      </c>
      <c r="G269">
        <f>D269+E269+F269</f>
        <v>35</v>
      </c>
    </row>
    <row r="270" spans="1:7" x14ac:dyDescent="0.3">
      <c r="A270">
        <v>431200</v>
      </c>
      <c r="B270">
        <v>11</v>
      </c>
      <c r="C270" t="s">
        <v>1435</v>
      </c>
      <c r="D270">
        <v>0</v>
      </c>
      <c r="E270">
        <v>25</v>
      </c>
      <c r="F270">
        <v>10</v>
      </c>
      <c r="G270">
        <f>D270+E270+F270</f>
        <v>35</v>
      </c>
    </row>
    <row r="271" spans="1:7" x14ac:dyDescent="0.3">
      <c r="A271">
        <v>431200</v>
      </c>
      <c r="B271">
        <v>13</v>
      </c>
      <c r="C271" t="s">
        <v>1427</v>
      </c>
      <c r="D271">
        <v>0</v>
      </c>
      <c r="E271">
        <v>25</v>
      </c>
      <c r="F271">
        <v>10</v>
      </c>
      <c r="G271">
        <f>D271+E271+F271</f>
        <v>35</v>
      </c>
    </row>
    <row r="272" spans="1:7" x14ac:dyDescent="0.3">
      <c r="A272">
        <v>431200</v>
      </c>
      <c r="B272">
        <v>16</v>
      </c>
      <c r="C272" t="s">
        <v>1356</v>
      </c>
      <c r="D272">
        <v>0</v>
      </c>
      <c r="E272">
        <v>25</v>
      </c>
      <c r="F272">
        <v>10</v>
      </c>
      <c r="G272">
        <f>D272+E272+F272</f>
        <v>35</v>
      </c>
    </row>
    <row r="273" spans="1:7" x14ac:dyDescent="0.3">
      <c r="A273">
        <v>431200</v>
      </c>
      <c r="B273">
        <v>18</v>
      </c>
      <c r="C273" t="s">
        <v>1369</v>
      </c>
      <c r="D273">
        <v>0</v>
      </c>
      <c r="E273">
        <v>25</v>
      </c>
      <c r="F273">
        <v>10</v>
      </c>
      <c r="G273">
        <f>D273+E273+F273</f>
        <v>35</v>
      </c>
    </row>
    <row r="274" spans="1:7" x14ac:dyDescent="0.3">
      <c r="A274">
        <v>431200</v>
      </c>
      <c r="B274">
        <v>19</v>
      </c>
      <c r="C274" t="s">
        <v>1445</v>
      </c>
      <c r="D274">
        <v>0</v>
      </c>
      <c r="E274">
        <v>25</v>
      </c>
      <c r="F274">
        <v>10</v>
      </c>
      <c r="G274">
        <f>D274+E274+F274</f>
        <v>35</v>
      </c>
    </row>
    <row r="275" spans="1:7" x14ac:dyDescent="0.3">
      <c r="A275">
        <v>431200</v>
      </c>
      <c r="B275">
        <v>21</v>
      </c>
      <c r="C275" t="s">
        <v>1395</v>
      </c>
      <c r="D275">
        <v>0</v>
      </c>
      <c r="E275">
        <v>25</v>
      </c>
      <c r="F275">
        <v>10</v>
      </c>
      <c r="G275">
        <f>D275+E275+F275</f>
        <v>35</v>
      </c>
    </row>
    <row r="276" spans="1:7" x14ac:dyDescent="0.3">
      <c r="A276">
        <v>432200</v>
      </c>
      <c r="B276">
        <v>4</v>
      </c>
      <c r="C276" t="s">
        <v>1676</v>
      </c>
      <c r="D276">
        <v>0</v>
      </c>
      <c r="E276">
        <v>25</v>
      </c>
      <c r="F276">
        <v>10</v>
      </c>
      <c r="G276">
        <f>D276+E276+F276</f>
        <v>35</v>
      </c>
    </row>
    <row r="277" spans="1:7" x14ac:dyDescent="0.3">
      <c r="A277">
        <v>432200</v>
      </c>
      <c r="B277">
        <v>23</v>
      </c>
      <c r="C277" t="s">
        <v>1610</v>
      </c>
      <c r="D277">
        <v>0</v>
      </c>
      <c r="E277">
        <v>25</v>
      </c>
      <c r="F277">
        <v>10</v>
      </c>
      <c r="G277">
        <f>D277+E277+F277</f>
        <v>35</v>
      </c>
    </row>
    <row r="278" spans="1:7" x14ac:dyDescent="0.3">
      <c r="A278">
        <v>432200</v>
      </c>
      <c r="B278">
        <v>24</v>
      </c>
      <c r="C278" t="s">
        <v>1624</v>
      </c>
      <c r="D278">
        <v>0</v>
      </c>
      <c r="E278">
        <v>25</v>
      </c>
      <c r="F278">
        <v>10</v>
      </c>
      <c r="G278">
        <f>D278+E278+F278</f>
        <v>35</v>
      </c>
    </row>
    <row r="279" spans="1:7" x14ac:dyDescent="0.3">
      <c r="A279">
        <v>432200</v>
      </c>
      <c r="B279">
        <v>29</v>
      </c>
      <c r="C279" t="s">
        <v>1722</v>
      </c>
      <c r="D279">
        <v>0</v>
      </c>
      <c r="E279">
        <v>25</v>
      </c>
      <c r="F279">
        <v>10</v>
      </c>
      <c r="G279">
        <f>D279+E279+F279</f>
        <v>35</v>
      </c>
    </row>
    <row r="280" spans="1:7" x14ac:dyDescent="0.3">
      <c r="A280">
        <v>432200</v>
      </c>
      <c r="B280">
        <v>30</v>
      </c>
      <c r="C280" t="s">
        <v>1548</v>
      </c>
      <c r="D280">
        <v>0</v>
      </c>
      <c r="E280">
        <v>25</v>
      </c>
      <c r="F280">
        <v>10</v>
      </c>
      <c r="G280">
        <f>D280+E280+F280</f>
        <v>35</v>
      </c>
    </row>
    <row r="281" spans="1:7" x14ac:dyDescent="0.3">
      <c r="A281">
        <v>432200</v>
      </c>
      <c r="B281">
        <v>31</v>
      </c>
      <c r="C281" t="s">
        <v>1571</v>
      </c>
      <c r="D281">
        <v>0</v>
      </c>
      <c r="E281">
        <v>25</v>
      </c>
      <c r="F281">
        <v>10</v>
      </c>
      <c r="G281">
        <f>D281+E281+F281</f>
        <v>35</v>
      </c>
    </row>
    <row r="282" spans="1:7" x14ac:dyDescent="0.3">
      <c r="A282">
        <v>432200</v>
      </c>
      <c r="B282">
        <v>33</v>
      </c>
      <c r="C282" t="s">
        <v>1530</v>
      </c>
      <c r="D282">
        <v>0</v>
      </c>
      <c r="E282">
        <v>25</v>
      </c>
      <c r="F282">
        <v>10</v>
      </c>
      <c r="G282">
        <f>D282+E282+F282</f>
        <v>35</v>
      </c>
    </row>
    <row r="283" spans="1:7" x14ac:dyDescent="0.3">
      <c r="A283">
        <v>432200</v>
      </c>
      <c r="B283">
        <v>34</v>
      </c>
      <c r="C283" t="s">
        <v>1658</v>
      </c>
      <c r="D283">
        <v>0</v>
      </c>
      <c r="E283">
        <v>25</v>
      </c>
      <c r="F283">
        <v>10</v>
      </c>
      <c r="G283">
        <f>D283+E283+F283</f>
        <v>35</v>
      </c>
    </row>
    <row r="284" spans="1:7" x14ac:dyDescent="0.3">
      <c r="A284">
        <v>432200</v>
      </c>
      <c r="B284">
        <v>35</v>
      </c>
      <c r="C284" t="s">
        <v>1780</v>
      </c>
      <c r="D284">
        <v>0</v>
      </c>
      <c r="E284">
        <v>25</v>
      </c>
      <c r="F284">
        <v>10</v>
      </c>
      <c r="G284">
        <f>D284+E284+F284</f>
        <v>35</v>
      </c>
    </row>
    <row r="285" spans="1:7" x14ac:dyDescent="0.3">
      <c r="A285">
        <v>432200</v>
      </c>
      <c r="B285">
        <v>36</v>
      </c>
      <c r="C285" t="s">
        <v>1664</v>
      </c>
      <c r="D285">
        <v>0</v>
      </c>
      <c r="E285">
        <v>25</v>
      </c>
      <c r="F285">
        <v>10</v>
      </c>
      <c r="G285">
        <f>D285+E285+F285</f>
        <v>35</v>
      </c>
    </row>
    <row r="286" spans="1:7" x14ac:dyDescent="0.3">
      <c r="A286">
        <v>432200</v>
      </c>
      <c r="B286">
        <v>37</v>
      </c>
      <c r="C286" t="s">
        <v>1556</v>
      </c>
      <c r="D286">
        <v>0</v>
      </c>
      <c r="E286">
        <v>25</v>
      </c>
      <c r="F286">
        <v>10</v>
      </c>
      <c r="G286">
        <f>D286+E286+F286</f>
        <v>35</v>
      </c>
    </row>
    <row r="287" spans="1:7" x14ac:dyDescent="0.3">
      <c r="A287">
        <v>432200</v>
      </c>
      <c r="B287">
        <v>38</v>
      </c>
      <c r="C287" t="s">
        <v>1825</v>
      </c>
      <c r="D287">
        <v>0</v>
      </c>
      <c r="E287">
        <v>25</v>
      </c>
      <c r="F287">
        <v>10</v>
      </c>
      <c r="G287">
        <f>D287+E287+F287</f>
        <v>35</v>
      </c>
    </row>
    <row r="288" spans="1:7" x14ac:dyDescent="0.3">
      <c r="A288">
        <v>432200</v>
      </c>
      <c r="B288">
        <v>39</v>
      </c>
      <c r="C288" t="s">
        <v>1840</v>
      </c>
      <c r="D288">
        <v>0</v>
      </c>
      <c r="E288">
        <v>25</v>
      </c>
      <c r="F288">
        <v>10</v>
      </c>
      <c r="G288">
        <f>D288+E288+F288</f>
        <v>35</v>
      </c>
    </row>
    <row r="289" spans="1:7" x14ac:dyDescent="0.3">
      <c r="A289">
        <v>432200</v>
      </c>
      <c r="B289">
        <v>40</v>
      </c>
      <c r="C289" t="s">
        <v>1540</v>
      </c>
      <c r="D289">
        <v>0</v>
      </c>
      <c r="E289">
        <v>25</v>
      </c>
      <c r="F289">
        <v>10</v>
      </c>
      <c r="G289">
        <f>D289+E289+F289</f>
        <v>35</v>
      </c>
    </row>
    <row r="290" spans="1:7" x14ac:dyDescent="0.3">
      <c r="A290">
        <v>432200</v>
      </c>
      <c r="B290">
        <v>41</v>
      </c>
      <c r="C290" t="s">
        <v>1646</v>
      </c>
      <c r="D290">
        <v>0</v>
      </c>
      <c r="E290">
        <v>25</v>
      </c>
      <c r="F290">
        <v>10</v>
      </c>
      <c r="G290">
        <f>D290+E290+F290</f>
        <v>35</v>
      </c>
    </row>
    <row r="291" spans="1:7" x14ac:dyDescent="0.3">
      <c r="A291">
        <v>432200</v>
      </c>
      <c r="B291">
        <v>44</v>
      </c>
      <c r="C291" t="s">
        <v>1512</v>
      </c>
      <c r="D291">
        <v>0</v>
      </c>
      <c r="E291">
        <v>25</v>
      </c>
      <c r="F291">
        <v>10</v>
      </c>
      <c r="G291">
        <f>D291+E291+F291</f>
        <v>35</v>
      </c>
    </row>
    <row r="292" spans="1:7" x14ac:dyDescent="0.3">
      <c r="A292">
        <v>432200</v>
      </c>
      <c r="B292">
        <v>46</v>
      </c>
      <c r="C292" t="s">
        <v>1846</v>
      </c>
      <c r="D292">
        <v>0</v>
      </c>
      <c r="E292">
        <v>25</v>
      </c>
      <c r="F292">
        <v>10</v>
      </c>
      <c r="G292">
        <f>D292+E292+F292</f>
        <v>35</v>
      </c>
    </row>
    <row r="293" spans="1:7" x14ac:dyDescent="0.3">
      <c r="A293">
        <v>432200</v>
      </c>
      <c r="B293">
        <v>47</v>
      </c>
      <c r="C293" t="s">
        <v>1469</v>
      </c>
      <c r="D293">
        <v>0</v>
      </c>
      <c r="E293">
        <v>25</v>
      </c>
      <c r="F293">
        <v>10</v>
      </c>
      <c r="G293">
        <f>D293+E293+F293</f>
        <v>35</v>
      </c>
    </row>
    <row r="294" spans="1:7" x14ac:dyDescent="0.3">
      <c r="A294">
        <v>432200</v>
      </c>
      <c r="B294">
        <v>49</v>
      </c>
      <c r="C294" t="s">
        <v>1756</v>
      </c>
      <c r="D294">
        <v>0</v>
      </c>
      <c r="E294">
        <v>25</v>
      </c>
      <c r="F294">
        <v>10</v>
      </c>
      <c r="G294">
        <f>D294+E294+F294</f>
        <v>35</v>
      </c>
    </row>
    <row r="295" spans="1:7" x14ac:dyDescent="0.3">
      <c r="A295">
        <v>432200</v>
      </c>
      <c r="B295">
        <v>50</v>
      </c>
      <c r="C295" t="s">
        <v>1794</v>
      </c>
      <c r="D295">
        <v>0</v>
      </c>
      <c r="E295">
        <v>25</v>
      </c>
      <c r="F295">
        <v>10</v>
      </c>
      <c r="G295">
        <f>D295+E295+F295</f>
        <v>35</v>
      </c>
    </row>
    <row r="296" spans="1:7" x14ac:dyDescent="0.3">
      <c r="A296">
        <v>432200</v>
      </c>
      <c r="B296">
        <v>52</v>
      </c>
      <c r="C296" t="s">
        <v>1476</v>
      </c>
      <c r="D296">
        <v>0</v>
      </c>
      <c r="E296">
        <v>25</v>
      </c>
      <c r="F296">
        <v>10</v>
      </c>
      <c r="G296">
        <f>D296+E296+F296</f>
        <v>35</v>
      </c>
    </row>
    <row r="297" spans="1:7" x14ac:dyDescent="0.3">
      <c r="A297">
        <v>432200</v>
      </c>
      <c r="B297">
        <v>53</v>
      </c>
      <c r="C297" t="s">
        <v>1535</v>
      </c>
      <c r="D297">
        <v>0</v>
      </c>
      <c r="E297">
        <v>25</v>
      </c>
      <c r="F297">
        <v>10</v>
      </c>
      <c r="G297">
        <f>D297+E297+F297</f>
        <v>35</v>
      </c>
    </row>
    <row r="298" spans="1:7" x14ac:dyDescent="0.3">
      <c r="A298">
        <v>432200</v>
      </c>
      <c r="B298">
        <v>54</v>
      </c>
      <c r="C298" t="s">
        <v>1735</v>
      </c>
      <c r="D298">
        <v>0</v>
      </c>
      <c r="E298">
        <v>25</v>
      </c>
      <c r="F298">
        <v>10</v>
      </c>
      <c r="G298">
        <f>D298+E298+F298</f>
        <v>35</v>
      </c>
    </row>
    <row r="299" spans="1:7" x14ac:dyDescent="0.3">
      <c r="A299">
        <v>432200</v>
      </c>
      <c r="B299">
        <v>55</v>
      </c>
      <c r="C299" t="s">
        <v>1750</v>
      </c>
      <c r="D299">
        <v>0</v>
      </c>
      <c r="E299">
        <v>25</v>
      </c>
      <c r="F299">
        <v>10</v>
      </c>
      <c r="G299">
        <f>D299+E299+F299</f>
        <v>35</v>
      </c>
    </row>
    <row r="300" spans="1:7" x14ac:dyDescent="0.3">
      <c r="A300">
        <v>432200</v>
      </c>
      <c r="B300">
        <v>57</v>
      </c>
      <c r="C300" t="s">
        <v>1699</v>
      </c>
      <c r="D300">
        <v>0</v>
      </c>
      <c r="E300">
        <v>25</v>
      </c>
      <c r="F300">
        <v>10</v>
      </c>
      <c r="G300">
        <f>D300+E300+F300</f>
        <v>35</v>
      </c>
    </row>
    <row r="301" spans="1:7" x14ac:dyDescent="0.3">
      <c r="A301">
        <v>432200</v>
      </c>
      <c r="B301">
        <v>58</v>
      </c>
      <c r="C301" t="s">
        <v>1525</v>
      </c>
      <c r="D301">
        <v>0</v>
      </c>
      <c r="E301">
        <v>25</v>
      </c>
      <c r="F301">
        <v>10</v>
      </c>
      <c r="G301">
        <f>D301+E301+F301</f>
        <v>35</v>
      </c>
    </row>
    <row r="302" spans="1:7" x14ac:dyDescent="0.3">
      <c r="A302">
        <v>432200</v>
      </c>
      <c r="B302">
        <v>59</v>
      </c>
      <c r="C302" t="s">
        <v>1806</v>
      </c>
      <c r="D302">
        <v>0</v>
      </c>
      <c r="E302">
        <v>25</v>
      </c>
      <c r="F302">
        <v>10</v>
      </c>
      <c r="G302">
        <f>D302+E302+F302</f>
        <v>35</v>
      </c>
    </row>
    <row r="303" spans="1:7" x14ac:dyDescent="0.3">
      <c r="A303">
        <v>432200</v>
      </c>
      <c r="B303">
        <v>60</v>
      </c>
      <c r="C303" t="s">
        <v>1813</v>
      </c>
      <c r="D303">
        <v>0</v>
      </c>
      <c r="E303">
        <v>25</v>
      </c>
      <c r="F303">
        <v>10</v>
      </c>
      <c r="G303">
        <f>D303+E303+F303</f>
        <v>35</v>
      </c>
    </row>
    <row r="304" spans="1:7" x14ac:dyDescent="0.3">
      <c r="A304">
        <v>432200</v>
      </c>
      <c r="B304">
        <v>62</v>
      </c>
      <c r="C304" t="s">
        <v>1483</v>
      </c>
      <c r="D304">
        <v>0</v>
      </c>
      <c r="E304">
        <v>25</v>
      </c>
      <c r="F304">
        <v>10</v>
      </c>
      <c r="G304">
        <f>D304+E304+F304</f>
        <v>35</v>
      </c>
    </row>
    <row r="305" spans="1:7" x14ac:dyDescent="0.3">
      <c r="A305">
        <v>432200</v>
      </c>
      <c r="B305">
        <v>64</v>
      </c>
      <c r="C305" t="s">
        <v>1590</v>
      </c>
      <c r="D305">
        <v>0</v>
      </c>
      <c r="E305">
        <v>25</v>
      </c>
      <c r="F305">
        <v>10</v>
      </c>
      <c r="G305">
        <f>D305+E305+F305</f>
        <v>35</v>
      </c>
    </row>
    <row r="306" spans="1:7" x14ac:dyDescent="0.3">
      <c r="A306">
        <v>432200</v>
      </c>
      <c r="B306">
        <v>65</v>
      </c>
      <c r="C306" t="s">
        <v>1614</v>
      </c>
      <c r="D306">
        <v>0</v>
      </c>
      <c r="E306">
        <v>25</v>
      </c>
      <c r="F306">
        <v>10</v>
      </c>
      <c r="G306">
        <f>D306+E306+F306</f>
        <v>35</v>
      </c>
    </row>
    <row r="307" spans="1:7" x14ac:dyDescent="0.3">
      <c r="A307">
        <v>432200</v>
      </c>
      <c r="B307">
        <v>67</v>
      </c>
      <c r="C307" t="s">
        <v>1603</v>
      </c>
      <c r="D307">
        <v>0</v>
      </c>
      <c r="E307">
        <v>25</v>
      </c>
      <c r="F307">
        <v>10</v>
      </c>
      <c r="G307">
        <f>D307+E307+F307</f>
        <v>35</v>
      </c>
    </row>
    <row r="308" spans="1:7" x14ac:dyDescent="0.3">
      <c r="A308">
        <v>433200</v>
      </c>
      <c r="B308">
        <v>20</v>
      </c>
      <c r="C308" t="s">
        <v>2020</v>
      </c>
      <c r="D308">
        <v>0</v>
      </c>
      <c r="E308">
        <v>25</v>
      </c>
      <c r="F308">
        <v>10</v>
      </c>
      <c r="G308">
        <f>D308+E308+F308</f>
        <v>35</v>
      </c>
    </row>
    <row r="309" spans="1:7" x14ac:dyDescent="0.3">
      <c r="A309">
        <v>433200</v>
      </c>
      <c r="B309">
        <v>21</v>
      </c>
      <c r="C309" t="s">
        <v>2068</v>
      </c>
      <c r="D309">
        <v>0</v>
      </c>
      <c r="E309">
        <v>25</v>
      </c>
      <c r="F309">
        <v>10</v>
      </c>
      <c r="G309">
        <f>D309+E309+F309</f>
        <v>35</v>
      </c>
    </row>
    <row r="310" spans="1:7" x14ac:dyDescent="0.3">
      <c r="A310">
        <v>433200</v>
      </c>
      <c r="B310">
        <v>22</v>
      </c>
      <c r="C310" t="s">
        <v>2101</v>
      </c>
      <c r="D310">
        <v>0</v>
      </c>
      <c r="E310">
        <v>25</v>
      </c>
      <c r="F310">
        <v>10</v>
      </c>
      <c r="G310">
        <f>D310+E310+F310</f>
        <v>35</v>
      </c>
    </row>
    <row r="311" spans="1:7" x14ac:dyDescent="0.3">
      <c r="A311">
        <v>433200</v>
      </c>
      <c r="B311">
        <v>23</v>
      </c>
      <c r="C311" t="s">
        <v>2105</v>
      </c>
      <c r="D311">
        <v>0</v>
      </c>
      <c r="E311">
        <v>25</v>
      </c>
      <c r="F311">
        <v>10</v>
      </c>
      <c r="G311">
        <f>D311+E311+F311</f>
        <v>35</v>
      </c>
    </row>
    <row r="312" spans="1:7" x14ac:dyDescent="0.3">
      <c r="A312">
        <v>433200</v>
      </c>
      <c r="B312">
        <v>24</v>
      </c>
      <c r="C312" t="s">
        <v>2092</v>
      </c>
      <c r="D312">
        <v>0</v>
      </c>
      <c r="E312">
        <v>25</v>
      </c>
      <c r="F312">
        <v>10</v>
      </c>
      <c r="G312">
        <f>D312+E312+F312</f>
        <v>35</v>
      </c>
    </row>
    <row r="313" spans="1:7" x14ac:dyDescent="0.3">
      <c r="A313">
        <v>433200</v>
      </c>
      <c r="B313">
        <v>25</v>
      </c>
      <c r="C313" t="s">
        <v>2183</v>
      </c>
      <c r="D313">
        <v>0</v>
      </c>
      <c r="E313">
        <v>25</v>
      </c>
      <c r="F313">
        <v>10</v>
      </c>
      <c r="G313">
        <f>D313+E313+F313</f>
        <v>35</v>
      </c>
    </row>
    <row r="314" spans="1:7" x14ac:dyDescent="0.3">
      <c r="A314">
        <v>433200</v>
      </c>
      <c r="B314">
        <v>26</v>
      </c>
      <c r="C314" t="s">
        <v>2382</v>
      </c>
      <c r="D314">
        <v>0</v>
      </c>
      <c r="E314">
        <v>25</v>
      </c>
      <c r="F314">
        <v>10</v>
      </c>
      <c r="G314">
        <f>D314+E314+F314</f>
        <v>35</v>
      </c>
    </row>
    <row r="315" spans="1:7" x14ac:dyDescent="0.3">
      <c r="A315">
        <v>433200</v>
      </c>
      <c r="B315">
        <v>28</v>
      </c>
      <c r="C315" t="s">
        <v>1956</v>
      </c>
      <c r="D315">
        <v>0</v>
      </c>
      <c r="E315">
        <v>25</v>
      </c>
      <c r="F315">
        <v>10</v>
      </c>
      <c r="G315">
        <f>D315+E315+F315</f>
        <v>35</v>
      </c>
    </row>
    <row r="316" spans="1:7" x14ac:dyDescent="0.3">
      <c r="A316">
        <v>433200</v>
      </c>
      <c r="B316">
        <v>29</v>
      </c>
      <c r="C316" t="s">
        <v>2272</v>
      </c>
      <c r="D316">
        <v>0</v>
      </c>
      <c r="E316">
        <v>25</v>
      </c>
      <c r="F316">
        <v>10</v>
      </c>
      <c r="G316">
        <f>D316+E316+F316</f>
        <v>35</v>
      </c>
    </row>
    <row r="317" spans="1:7" x14ac:dyDescent="0.3">
      <c r="A317">
        <v>433200</v>
      </c>
      <c r="B317">
        <v>30</v>
      </c>
      <c r="C317" t="s">
        <v>1965</v>
      </c>
      <c r="D317">
        <v>0</v>
      </c>
      <c r="E317">
        <v>25</v>
      </c>
      <c r="F317">
        <v>10</v>
      </c>
      <c r="G317">
        <f>D317+E317+F317</f>
        <v>35</v>
      </c>
    </row>
    <row r="318" spans="1:7" x14ac:dyDescent="0.3">
      <c r="A318">
        <v>433200</v>
      </c>
      <c r="B318">
        <v>32</v>
      </c>
      <c r="C318" t="s">
        <v>2134</v>
      </c>
      <c r="D318">
        <v>0</v>
      </c>
      <c r="E318">
        <v>25</v>
      </c>
      <c r="F318">
        <v>10</v>
      </c>
      <c r="G318">
        <f>D318+E318+F318</f>
        <v>35</v>
      </c>
    </row>
    <row r="319" spans="1:7" x14ac:dyDescent="0.3">
      <c r="A319">
        <v>433200</v>
      </c>
      <c r="B319">
        <v>33</v>
      </c>
      <c r="C319" t="s">
        <v>2207</v>
      </c>
      <c r="D319">
        <v>0</v>
      </c>
      <c r="E319">
        <v>25</v>
      </c>
      <c r="F319">
        <v>10</v>
      </c>
      <c r="G319">
        <f>D319+E319+F319</f>
        <v>35</v>
      </c>
    </row>
    <row r="320" spans="1:7" x14ac:dyDescent="0.3">
      <c r="A320">
        <v>433200</v>
      </c>
      <c r="B320">
        <v>36</v>
      </c>
      <c r="C320" t="s">
        <v>2473</v>
      </c>
      <c r="D320">
        <v>0</v>
      </c>
      <c r="E320">
        <v>25</v>
      </c>
      <c r="F320">
        <v>10</v>
      </c>
      <c r="G320">
        <f>D320+E320+F320</f>
        <v>35</v>
      </c>
    </row>
    <row r="321" spans="1:7" x14ac:dyDescent="0.3">
      <c r="A321">
        <v>433200</v>
      </c>
      <c r="B321">
        <v>37</v>
      </c>
      <c r="C321" t="s">
        <v>2050</v>
      </c>
      <c r="D321">
        <v>0</v>
      </c>
      <c r="E321">
        <v>25</v>
      </c>
      <c r="F321">
        <v>10</v>
      </c>
      <c r="G321">
        <f>D321+E321+F321</f>
        <v>35</v>
      </c>
    </row>
    <row r="322" spans="1:7" x14ac:dyDescent="0.3">
      <c r="A322">
        <v>433200</v>
      </c>
      <c r="B322">
        <v>38</v>
      </c>
      <c r="C322" t="s">
        <v>1993</v>
      </c>
      <c r="D322">
        <v>0</v>
      </c>
      <c r="E322">
        <v>25</v>
      </c>
      <c r="F322">
        <v>10</v>
      </c>
      <c r="G322">
        <f>D322+E322+F322</f>
        <v>35</v>
      </c>
    </row>
    <row r="323" spans="1:7" x14ac:dyDescent="0.3">
      <c r="A323">
        <v>433200</v>
      </c>
      <c r="B323">
        <v>39</v>
      </c>
      <c r="C323" t="s">
        <v>2002</v>
      </c>
      <c r="D323">
        <v>0</v>
      </c>
      <c r="E323">
        <v>25</v>
      </c>
      <c r="F323">
        <v>10</v>
      </c>
      <c r="G323">
        <f>D323+E323+F323</f>
        <v>35</v>
      </c>
    </row>
    <row r="324" spans="1:7" x14ac:dyDescent="0.3">
      <c r="A324">
        <v>433200</v>
      </c>
      <c r="B324">
        <v>40</v>
      </c>
      <c r="C324" t="s">
        <v>2267</v>
      </c>
      <c r="D324">
        <v>0</v>
      </c>
      <c r="E324">
        <v>25</v>
      </c>
      <c r="F324">
        <v>10</v>
      </c>
      <c r="G324">
        <f>D324+E324+F324</f>
        <v>35</v>
      </c>
    </row>
    <row r="325" spans="1:7" x14ac:dyDescent="0.3">
      <c r="A325">
        <v>433200</v>
      </c>
      <c r="B325">
        <v>41</v>
      </c>
      <c r="C325" t="s">
        <v>2165</v>
      </c>
      <c r="D325">
        <v>0</v>
      </c>
      <c r="E325">
        <v>25</v>
      </c>
      <c r="F325">
        <v>10</v>
      </c>
      <c r="G325">
        <f>D325+E325+F325</f>
        <v>35</v>
      </c>
    </row>
    <row r="326" spans="1:7" x14ac:dyDescent="0.3">
      <c r="A326">
        <v>433200</v>
      </c>
      <c r="B326">
        <v>42</v>
      </c>
      <c r="C326" t="s">
        <v>2088</v>
      </c>
      <c r="D326">
        <v>0</v>
      </c>
      <c r="E326">
        <v>25</v>
      </c>
      <c r="F326">
        <v>10</v>
      </c>
      <c r="G326">
        <f>D326+E326+F326</f>
        <v>35</v>
      </c>
    </row>
    <row r="327" spans="1:7" x14ac:dyDescent="0.3">
      <c r="A327">
        <v>433200</v>
      </c>
      <c r="B327">
        <v>44</v>
      </c>
      <c r="C327" t="s">
        <v>2336</v>
      </c>
      <c r="D327">
        <v>0</v>
      </c>
      <c r="E327">
        <v>25</v>
      </c>
      <c r="F327">
        <v>10</v>
      </c>
      <c r="G327">
        <f>D327+E327+F327</f>
        <v>35</v>
      </c>
    </row>
    <row r="328" spans="1:7" x14ac:dyDescent="0.3">
      <c r="A328">
        <v>433200</v>
      </c>
      <c r="B328">
        <v>45</v>
      </c>
      <c r="C328" t="s">
        <v>2418</v>
      </c>
      <c r="D328">
        <v>0</v>
      </c>
      <c r="E328">
        <v>25</v>
      </c>
      <c r="F328">
        <v>10</v>
      </c>
      <c r="G328">
        <f>D328+E328+F328</f>
        <v>35</v>
      </c>
    </row>
    <row r="329" spans="1:7" x14ac:dyDescent="0.3">
      <c r="A329">
        <v>433200</v>
      </c>
      <c r="B329">
        <v>46</v>
      </c>
      <c r="C329" t="s">
        <v>1980</v>
      </c>
      <c r="D329">
        <v>0</v>
      </c>
      <c r="E329">
        <v>25</v>
      </c>
      <c r="F329">
        <v>10</v>
      </c>
      <c r="G329">
        <f>D329+E329+F329</f>
        <v>35</v>
      </c>
    </row>
    <row r="330" spans="1:7" x14ac:dyDescent="0.3">
      <c r="A330">
        <v>433200</v>
      </c>
      <c r="B330">
        <v>48</v>
      </c>
      <c r="C330" t="s">
        <v>2317</v>
      </c>
      <c r="D330">
        <v>0</v>
      </c>
      <c r="E330">
        <v>25</v>
      </c>
      <c r="F330">
        <v>10</v>
      </c>
      <c r="G330">
        <f>D330+E330+F330</f>
        <v>35</v>
      </c>
    </row>
    <row r="331" spans="1:7" x14ac:dyDescent="0.3">
      <c r="A331">
        <v>433200</v>
      </c>
      <c r="B331">
        <v>49</v>
      </c>
      <c r="C331" t="s">
        <v>2250</v>
      </c>
      <c r="D331">
        <v>0</v>
      </c>
      <c r="E331">
        <v>25</v>
      </c>
      <c r="F331">
        <v>10</v>
      </c>
      <c r="G331">
        <f>D331+E331+F331</f>
        <v>35</v>
      </c>
    </row>
    <row r="332" spans="1:7" x14ac:dyDescent="0.3">
      <c r="A332">
        <v>433200</v>
      </c>
      <c r="B332">
        <v>52</v>
      </c>
      <c r="C332" t="s">
        <v>2323</v>
      </c>
      <c r="D332">
        <v>0</v>
      </c>
      <c r="E332">
        <v>25</v>
      </c>
      <c r="F332">
        <v>10</v>
      </c>
      <c r="G332">
        <f>D332+E332+F332</f>
        <v>35</v>
      </c>
    </row>
    <row r="333" spans="1:7" x14ac:dyDescent="0.3">
      <c r="A333">
        <v>433200</v>
      </c>
      <c r="B333">
        <v>53</v>
      </c>
      <c r="C333" t="s">
        <v>2372</v>
      </c>
      <c r="D333">
        <v>0</v>
      </c>
      <c r="E333">
        <v>25</v>
      </c>
      <c r="F333">
        <v>10</v>
      </c>
      <c r="G333">
        <f>D333+E333+F333</f>
        <v>35</v>
      </c>
    </row>
    <row r="334" spans="1:7" x14ac:dyDescent="0.3">
      <c r="A334">
        <v>433200</v>
      </c>
      <c r="B334">
        <v>54</v>
      </c>
      <c r="C334" t="s">
        <v>2483</v>
      </c>
      <c r="D334">
        <v>0</v>
      </c>
      <c r="E334">
        <v>25</v>
      </c>
      <c r="F334">
        <v>10</v>
      </c>
      <c r="G334">
        <f>D334+E334+F334</f>
        <v>35</v>
      </c>
    </row>
    <row r="335" spans="1:7" x14ac:dyDescent="0.3">
      <c r="A335">
        <v>433200</v>
      </c>
      <c r="B335">
        <v>55</v>
      </c>
      <c r="C335" t="s">
        <v>2356</v>
      </c>
      <c r="D335">
        <v>0</v>
      </c>
      <c r="E335">
        <v>25</v>
      </c>
      <c r="F335">
        <v>10</v>
      </c>
      <c r="G335">
        <f>D335+E335+F335</f>
        <v>35</v>
      </c>
    </row>
    <row r="336" spans="1:7" x14ac:dyDescent="0.3">
      <c r="A336">
        <v>433200</v>
      </c>
      <c r="B336">
        <v>56</v>
      </c>
      <c r="C336" t="s">
        <v>1931</v>
      </c>
      <c r="D336">
        <v>0</v>
      </c>
      <c r="E336">
        <v>25</v>
      </c>
      <c r="F336">
        <v>10</v>
      </c>
      <c r="G336">
        <f>D336+E336+F336</f>
        <v>35</v>
      </c>
    </row>
    <row r="337" spans="1:7" x14ac:dyDescent="0.3">
      <c r="A337">
        <v>433200</v>
      </c>
      <c r="B337">
        <v>58</v>
      </c>
      <c r="C337" t="s">
        <v>2462</v>
      </c>
      <c r="D337">
        <v>0</v>
      </c>
      <c r="E337">
        <v>25</v>
      </c>
      <c r="F337">
        <v>10</v>
      </c>
      <c r="G337">
        <f>D337+E337+F337</f>
        <v>35</v>
      </c>
    </row>
    <row r="338" spans="1:7" x14ac:dyDescent="0.3">
      <c r="A338">
        <v>433200</v>
      </c>
      <c r="B338">
        <v>59</v>
      </c>
      <c r="C338" t="s">
        <v>1926</v>
      </c>
      <c r="D338">
        <v>0</v>
      </c>
      <c r="E338">
        <v>25</v>
      </c>
      <c r="F338">
        <v>10</v>
      </c>
      <c r="G338">
        <f>D338+E338+F338</f>
        <v>35</v>
      </c>
    </row>
    <row r="339" spans="1:7" x14ac:dyDescent="0.3">
      <c r="A339">
        <v>433200</v>
      </c>
      <c r="B339">
        <v>60</v>
      </c>
      <c r="C339" t="s">
        <v>2138</v>
      </c>
      <c r="D339">
        <v>0</v>
      </c>
      <c r="E339">
        <v>25</v>
      </c>
      <c r="F339">
        <v>10</v>
      </c>
      <c r="G339">
        <f>D339+E339+F339</f>
        <v>35</v>
      </c>
    </row>
    <row r="340" spans="1:7" x14ac:dyDescent="0.3">
      <c r="A340">
        <v>433200</v>
      </c>
      <c r="B340">
        <v>61</v>
      </c>
      <c r="C340" t="s">
        <v>2226</v>
      </c>
      <c r="D340">
        <v>0</v>
      </c>
      <c r="E340">
        <v>25</v>
      </c>
      <c r="F340">
        <v>10</v>
      </c>
      <c r="G340">
        <f>D340+E340+F340</f>
        <v>35</v>
      </c>
    </row>
    <row r="341" spans="1:7" x14ac:dyDescent="0.3">
      <c r="A341">
        <v>433200</v>
      </c>
      <c r="B341">
        <v>63</v>
      </c>
      <c r="C341" t="s">
        <v>2282</v>
      </c>
      <c r="D341">
        <v>0</v>
      </c>
      <c r="E341">
        <v>25</v>
      </c>
      <c r="F341">
        <v>10</v>
      </c>
      <c r="G341">
        <f>D341+E341+F341</f>
        <v>35</v>
      </c>
    </row>
    <row r="342" spans="1:7" x14ac:dyDescent="0.3">
      <c r="A342">
        <v>433200</v>
      </c>
      <c r="B342">
        <v>64</v>
      </c>
      <c r="C342" t="s">
        <v>2402</v>
      </c>
      <c r="D342">
        <v>0</v>
      </c>
      <c r="E342">
        <v>25</v>
      </c>
      <c r="F342">
        <v>10</v>
      </c>
      <c r="G342">
        <f>D342+E342+F342</f>
        <v>35</v>
      </c>
    </row>
    <row r="343" spans="1:7" x14ac:dyDescent="0.3">
      <c r="A343">
        <v>433200</v>
      </c>
      <c r="B343">
        <v>65</v>
      </c>
      <c r="C343" t="s">
        <v>2478</v>
      </c>
      <c r="D343">
        <v>0</v>
      </c>
      <c r="E343">
        <v>25</v>
      </c>
      <c r="F343">
        <v>10</v>
      </c>
      <c r="G343">
        <f>D343+E343+F343</f>
        <v>35</v>
      </c>
    </row>
    <row r="344" spans="1:7" x14ac:dyDescent="0.3">
      <c r="A344">
        <v>433200</v>
      </c>
      <c r="B344">
        <v>67</v>
      </c>
      <c r="C344" t="s">
        <v>2007</v>
      </c>
      <c r="D344">
        <v>0</v>
      </c>
      <c r="E344">
        <v>25</v>
      </c>
      <c r="F344">
        <v>10</v>
      </c>
      <c r="G344">
        <f>D344+E344+F344</f>
        <v>35</v>
      </c>
    </row>
    <row r="345" spans="1:7" x14ac:dyDescent="0.3">
      <c r="A345">
        <v>433200</v>
      </c>
      <c r="B345">
        <v>68</v>
      </c>
      <c r="C345" t="s">
        <v>1948</v>
      </c>
      <c r="D345">
        <v>0</v>
      </c>
      <c r="E345">
        <v>25</v>
      </c>
      <c r="F345">
        <v>10</v>
      </c>
      <c r="G345">
        <f>D345+E345+F345</f>
        <v>35</v>
      </c>
    </row>
    <row r="346" spans="1:7" x14ac:dyDescent="0.3">
      <c r="A346">
        <v>433200</v>
      </c>
      <c r="B346">
        <v>69</v>
      </c>
      <c r="C346" t="s">
        <v>1970</v>
      </c>
      <c r="D346">
        <v>0</v>
      </c>
      <c r="E346">
        <v>25</v>
      </c>
      <c r="F346">
        <v>10</v>
      </c>
      <c r="G346">
        <f>D346+E346+F346</f>
        <v>35</v>
      </c>
    </row>
    <row r="347" spans="1:7" x14ac:dyDescent="0.3">
      <c r="A347">
        <v>433200</v>
      </c>
      <c r="B347">
        <v>70</v>
      </c>
      <c r="C347" t="s">
        <v>2046</v>
      </c>
      <c r="D347">
        <v>0</v>
      </c>
      <c r="E347">
        <v>25</v>
      </c>
      <c r="F347">
        <v>10</v>
      </c>
      <c r="G347">
        <f>D347+E347+F347</f>
        <v>35</v>
      </c>
    </row>
    <row r="348" spans="1:7" x14ac:dyDescent="0.3">
      <c r="A348">
        <v>433200</v>
      </c>
      <c r="B348">
        <v>71</v>
      </c>
      <c r="C348" t="s">
        <v>2377</v>
      </c>
      <c r="D348">
        <v>0</v>
      </c>
      <c r="E348">
        <v>25</v>
      </c>
      <c r="F348">
        <v>10</v>
      </c>
      <c r="G348">
        <f>D348+E348+F348</f>
        <v>35</v>
      </c>
    </row>
    <row r="349" spans="1:7" x14ac:dyDescent="0.3">
      <c r="A349">
        <v>433200</v>
      </c>
      <c r="B349">
        <v>74</v>
      </c>
      <c r="C349" t="s">
        <v>2096</v>
      </c>
      <c r="D349">
        <v>0</v>
      </c>
      <c r="E349">
        <v>25</v>
      </c>
      <c r="F349">
        <v>10</v>
      </c>
      <c r="G349">
        <f>D349+E349+F349</f>
        <v>35</v>
      </c>
    </row>
    <row r="350" spans="1:7" x14ac:dyDescent="0.3">
      <c r="A350">
        <v>433200</v>
      </c>
      <c r="B350">
        <v>75</v>
      </c>
      <c r="C350" t="s">
        <v>2116</v>
      </c>
      <c r="D350">
        <v>0</v>
      </c>
      <c r="E350">
        <v>25</v>
      </c>
      <c r="F350">
        <v>10</v>
      </c>
      <c r="G350">
        <f>D350+E350+F350</f>
        <v>35</v>
      </c>
    </row>
    <row r="351" spans="1:7" x14ac:dyDescent="0.3">
      <c r="A351">
        <v>433200</v>
      </c>
      <c r="B351">
        <v>76</v>
      </c>
      <c r="C351" t="s">
        <v>2213</v>
      </c>
      <c r="D351">
        <v>0</v>
      </c>
      <c r="E351">
        <v>25</v>
      </c>
      <c r="F351">
        <v>10</v>
      </c>
      <c r="G351">
        <f>D351+E351+F351</f>
        <v>35</v>
      </c>
    </row>
    <row r="352" spans="1:7" x14ac:dyDescent="0.3">
      <c r="A352">
        <v>433200</v>
      </c>
      <c r="B352">
        <v>78</v>
      </c>
      <c r="C352" t="s">
        <v>2466</v>
      </c>
      <c r="D352">
        <v>0</v>
      </c>
      <c r="E352">
        <v>25</v>
      </c>
      <c r="F352">
        <v>10</v>
      </c>
      <c r="G352">
        <f>D352+E352+F352</f>
        <v>35</v>
      </c>
    </row>
    <row r="353" spans="1:7" x14ac:dyDescent="0.3">
      <c r="A353">
        <v>433200</v>
      </c>
      <c r="B353">
        <v>79</v>
      </c>
      <c r="C353" t="s">
        <v>2122</v>
      </c>
      <c r="D353">
        <v>0</v>
      </c>
      <c r="E353">
        <v>25</v>
      </c>
      <c r="F353">
        <v>10</v>
      </c>
      <c r="G353">
        <f>D353+E353+F353</f>
        <v>35</v>
      </c>
    </row>
    <row r="354" spans="1:7" x14ac:dyDescent="0.3">
      <c r="A354">
        <v>433200</v>
      </c>
      <c r="B354">
        <v>80</v>
      </c>
      <c r="C354" t="s">
        <v>2015</v>
      </c>
      <c r="D354">
        <v>0</v>
      </c>
      <c r="E354">
        <v>25</v>
      </c>
      <c r="F354">
        <v>10</v>
      </c>
      <c r="G354">
        <f>D354+E354+F354</f>
        <v>35</v>
      </c>
    </row>
    <row r="355" spans="1:7" x14ac:dyDescent="0.3">
      <c r="A355">
        <v>433200</v>
      </c>
      <c r="B355">
        <v>81</v>
      </c>
      <c r="C355" t="s">
        <v>2244</v>
      </c>
      <c r="D355">
        <v>0</v>
      </c>
      <c r="E355">
        <v>25</v>
      </c>
      <c r="F355">
        <v>10</v>
      </c>
      <c r="G355">
        <f>D355+E355+F355</f>
        <v>35</v>
      </c>
    </row>
    <row r="356" spans="1:7" x14ac:dyDescent="0.3">
      <c r="A356">
        <v>433200</v>
      </c>
      <c r="B356">
        <v>83</v>
      </c>
      <c r="C356" t="s">
        <v>2191</v>
      </c>
      <c r="D356">
        <v>0</v>
      </c>
      <c r="E356">
        <v>25</v>
      </c>
      <c r="F356">
        <v>10</v>
      </c>
      <c r="G356">
        <f>D356+E356+F356</f>
        <v>35</v>
      </c>
    </row>
    <row r="357" spans="1:7" x14ac:dyDescent="0.3">
      <c r="A357">
        <v>433200</v>
      </c>
      <c r="B357">
        <v>84</v>
      </c>
      <c r="C357" t="s">
        <v>2256</v>
      </c>
      <c r="D357">
        <v>0</v>
      </c>
      <c r="E357">
        <v>25</v>
      </c>
      <c r="F357">
        <v>10</v>
      </c>
      <c r="G357">
        <f>D357+E357+F357</f>
        <v>35</v>
      </c>
    </row>
    <row r="358" spans="1:7" x14ac:dyDescent="0.3">
      <c r="A358">
        <v>433200</v>
      </c>
      <c r="B358">
        <v>85</v>
      </c>
      <c r="C358" t="s">
        <v>2290</v>
      </c>
      <c r="D358">
        <v>0</v>
      </c>
      <c r="E358">
        <v>25</v>
      </c>
      <c r="F358">
        <v>10</v>
      </c>
      <c r="G358">
        <f>D358+E358+F358</f>
        <v>35</v>
      </c>
    </row>
    <row r="359" spans="1:7" x14ac:dyDescent="0.3">
      <c r="A359">
        <v>433200</v>
      </c>
      <c r="B359">
        <v>87</v>
      </c>
      <c r="C359" t="s">
        <v>2143</v>
      </c>
      <c r="D359">
        <v>0</v>
      </c>
      <c r="E359">
        <v>25</v>
      </c>
      <c r="F359">
        <v>10</v>
      </c>
      <c r="G359">
        <f>D359+E359+F359</f>
        <v>35</v>
      </c>
    </row>
    <row r="360" spans="1:7" x14ac:dyDescent="0.3">
      <c r="A360">
        <v>433200</v>
      </c>
      <c r="B360">
        <v>89</v>
      </c>
      <c r="C360" t="s">
        <v>2176</v>
      </c>
      <c r="D360">
        <v>0</v>
      </c>
      <c r="E360">
        <v>25</v>
      </c>
      <c r="F360">
        <v>10</v>
      </c>
      <c r="G360">
        <f>D360+E360+F360</f>
        <v>35</v>
      </c>
    </row>
    <row r="361" spans="1:7" x14ac:dyDescent="0.3">
      <c r="A361">
        <v>433200</v>
      </c>
      <c r="B361">
        <v>90</v>
      </c>
      <c r="C361" t="s">
        <v>2429</v>
      </c>
      <c r="D361">
        <v>0</v>
      </c>
      <c r="E361">
        <v>25</v>
      </c>
      <c r="F361">
        <v>10</v>
      </c>
      <c r="G361">
        <f>D361+E361+F361</f>
        <v>35</v>
      </c>
    </row>
    <row r="362" spans="1:7" x14ac:dyDescent="0.3">
      <c r="A362">
        <v>433200</v>
      </c>
      <c r="B362">
        <v>91</v>
      </c>
      <c r="C362" t="s">
        <v>2442</v>
      </c>
      <c r="D362">
        <v>0</v>
      </c>
      <c r="E362">
        <v>25</v>
      </c>
      <c r="F362">
        <v>10</v>
      </c>
      <c r="G362">
        <f>D362+E362+F362</f>
        <v>35</v>
      </c>
    </row>
    <row r="363" spans="1:7" x14ac:dyDescent="0.3">
      <c r="A363">
        <v>433200</v>
      </c>
      <c r="B363">
        <v>92</v>
      </c>
      <c r="C363" t="s">
        <v>2173</v>
      </c>
      <c r="D363">
        <v>0</v>
      </c>
      <c r="E363">
        <v>25</v>
      </c>
      <c r="F363">
        <v>10</v>
      </c>
      <c r="G363">
        <f>D363+E363+F363</f>
        <v>35</v>
      </c>
    </row>
    <row r="364" spans="1:7" x14ac:dyDescent="0.3">
      <c r="A364">
        <v>433200</v>
      </c>
      <c r="B364">
        <v>94</v>
      </c>
      <c r="C364" t="s">
        <v>1937</v>
      </c>
      <c r="D364">
        <v>0</v>
      </c>
      <c r="E364">
        <v>25</v>
      </c>
      <c r="F364">
        <v>10</v>
      </c>
      <c r="G364">
        <f>D364+E364+F364</f>
        <v>35</v>
      </c>
    </row>
    <row r="365" spans="1:7" x14ac:dyDescent="0.3">
      <c r="A365">
        <v>433200</v>
      </c>
      <c r="B365">
        <v>95</v>
      </c>
      <c r="C365" t="s">
        <v>2307</v>
      </c>
      <c r="D365">
        <v>0</v>
      </c>
      <c r="E365">
        <v>25</v>
      </c>
      <c r="F365">
        <v>10</v>
      </c>
      <c r="G365">
        <f>D365+E365+F365</f>
        <v>35</v>
      </c>
    </row>
    <row r="366" spans="1:7" x14ac:dyDescent="0.3">
      <c r="A366">
        <v>433200</v>
      </c>
      <c r="B366">
        <v>97</v>
      </c>
      <c r="C366" t="s">
        <v>2437</v>
      </c>
      <c r="D366">
        <v>0</v>
      </c>
      <c r="E366">
        <v>25</v>
      </c>
      <c r="F366">
        <v>10</v>
      </c>
      <c r="G366">
        <f>D366+E366+F366</f>
        <v>35</v>
      </c>
    </row>
    <row r="367" spans="1:7" x14ac:dyDescent="0.3">
      <c r="A367">
        <v>433200</v>
      </c>
      <c r="B367">
        <v>98</v>
      </c>
      <c r="C367" t="s">
        <v>1943</v>
      </c>
      <c r="D367">
        <v>0</v>
      </c>
      <c r="E367">
        <v>25</v>
      </c>
      <c r="F367">
        <v>10</v>
      </c>
      <c r="G367">
        <f>D367+E367+F367</f>
        <v>35</v>
      </c>
    </row>
    <row r="368" spans="1:7" x14ac:dyDescent="0.3">
      <c r="A368">
        <v>433200</v>
      </c>
      <c r="B368">
        <v>100</v>
      </c>
      <c r="C368" t="s">
        <v>2147</v>
      </c>
      <c r="D368">
        <v>0</v>
      </c>
      <c r="E368">
        <v>25</v>
      </c>
      <c r="F368">
        <v>10</v>
      </c>
      <c r="G368">
        <f>D368+E368+F368</f>
        <v>35</v>
      </c>
    </row>
    <row r="369" spans="1:7" x14ac:dyDescent="0.3">
      <c r="A369">
        <v>433200</v>
      </c>
      <c r="B369">
        <v>102</v>
      </c>
      <c r="C369" t="s">
        <v>2448</v>
      </c>
      <c r="D369">
        <v>0</v>
      </c>
      <c r="E369">
        <v>25</v>
      </c>
      <c r="F369">
        <v>10</v>
      </c>
      <c r="G369">
        <f>D369+E369+F369</f>
        <v>35</v>
      </c>
    </row>
    <row r="370" spans="1:7" x14ac:dyDescent="0.3">
      <c r="A370">
        <v>433200</v>
      </c>
      <c r="B370">
        <v>103</v>
      </c>
      <c r="C370" t="s">
        <v>2458</v>
      </c>
      <c r="D370">
        <v>0</v>
      </c>
      <c r="E370">
        <v>25</v>
      </c>
      <c r="F370">
        <v>10</v>
      </c>
      <c r="G370">
        <f>D370+E370+F370</f>
        <v>35</v>
      </c>
    </row>
    <row r="371" spans="1:7" x14ac:dyDescent="0.3">
      <c r="A371">
        <v>433200</v>
      </c>
      <c r="B371">
        <v>104</v>
      </c>
      <c r="C371" t="s">
        <v>2346</v>
      </c>
      <c r="D371">
        <v>0</v>
      </c>
      <c r="E371">
        <v>25</v>
      </c>
      <c r="F371">
        <v>10</v>
      </c>
      <c r="G371">
        <f>D371+E371+F371</f>
        <v>35</v>
      </c>
    </row>
    <row r="372" spans="1:7" x14ac:dyDescent="0.3">
      <c r="A372">
        <v>433200</v>
      </c>
      <c r="B372">
        <v>105</v>
      </c>
      <c r="C372" t="s">
        <v>2363</v>
      </c>
      <c r="D372">
        <v>0</v>
      </c>
      <c r="E372">
        <v>25</v>
      </c>
      <c r="F372">
        <v>10</v>
      </c>
      <c r="G372">
        <f>D372+E372+F372</f>
        <v>35</v>
      </c>
    </row>
    <row r="373" spans="1:7" x14ac:dyDescent="0.3">
      <c r="A373">
        <v>433200</v>
      </c>
      <c r="B373">
        <v>106</v>
      </c>
      <c r="C373" t="s">
        <v>2061</v>
      </c>
      <c r="D373">
        <v>0</v>
      </c>
      <c r="E373">
        <v>25</v>
      </c>
      <c r="F373">
        <v>10</v>
      </c>
      <c r="G373">
        <f>D373+E373+F373</f>
        <v>35</v>
      </c>
    </row>
    <row r="374" spans="1:7" x14ac:dyDescent="0.3">
      <c r="A374">
        <v>433300</v>
      </c>
      <c r="B374">
        <v>7</v>
      </c>
      <c r="C374" t="s">
        <v>2663</v>
      </c>
      <c r="D374">
        <v>0</v>
      </c>
      <c r="E374">
        <v>25</v>
      </c>
      <c r="F374">
        <v>10</v>
      </c>
      <c r="G374">
        <f>D374+E374+F374</f>
        <v>35</v>
      </c>
    </row>
    <row r="375" spans="1:7" x14ac:dyDescent="0.3">
      <c r="A375">
        <v>433300</v>
      </c>
      <c r="B375">
        <v>9</v>
      </c>
      <c r="C375" t="s">
        <v>2688</v>
      </c>
      <c r="D375">
        <v>0</v>
      </c>
      <c r="E375">
        <v>25</v>
      </c>
      <c r="F375">
        <v>10</v>
      </c>
      <c r="G375">
        <f>D375+E375+F375</f>
        <v>35</v>
      </c>
    </row>
    <row r="376" spans="1:7" x14ac:dyDescent="0.3">
      <c r="A376">
        <v>433300</v>
      </c>
      <c r="B376">
        <v>15</v>
      </c>
      <c r="C376" t="s">
        <v>2679</v>
      </c>
      <c r="D376">
        <v>0</v>
      </c>
      <c r="E376">
        <v>25</v>
      </c>
      <c r="F376">
        <v>10</v>
      </c>
      <c r="G376">
        <f>D376+E376+F376</f>
        <v>35</v>
      </c>
    </row>
    <row r="377" spans="1:7" x14ac:dyDescent="0.3">
      <c r="A377">
        <v>434200</v>
      </c>
      <c r="B377">
        <v>9</v>
      </c>
      <c r="C377" t="s">
        <v>2724</v>
      </c>
      <c r="D377">
        <v>0</v>
      </c>
      <c r="E377">
        <v>25</v>
      </c>
      <c r="F377">
        <v>10</v>
      </c>
      <c r="G377">
        <f>D377+E377+F377</f>
        <v>35</v>
      </c>
    </row>
    <row r="378" spans="1:7" x14ac:dyDescent="0.3">
      <c r="A378">
        <v>439100</v>
      </c>
      <c r="B378">
        <v>9</v>
      </c>
      <c r="C378" t="s">
        <v>2812</v>
      </c>
      <c r="D378">
        <v>0</v>
      </c>
      <c r="E378">
        <v>25</v>
      </c>
      <c r="F378">
        <v>10</v>
      </c>
      <c r="G378">
        <f>D378+E378+F378</f>
        <v>35</v>
      </c>
    </row>
    <row r="379" spans="1:7" x14ac:dyDescent="0.3">
      <c r="A379">
        <v>439100</v>
      </c>
      <c r="B379">
        <v>11</v>
      </c>
      <c r="C379" t="s">
        <v>2855</v>
      </c>
      <c r="D379">
        <v>0</v>
      </c>
      <c r="E379">
        <v>25</v>
      </c>
      <c r="F379">
        <v>10</v>
      </c>
      <c r="G379">
        <f>D379+E379+F379</f>
        <v>35</v>
      </c>
    </row>
    <row r="380" spans="1:7" x14ac:dyDescent="0.3">
      <c r="A380">
        <v>439100</v>
      </c>
      <c r="B380">
        <v>12</v>
      </c>
      <c r="C380" t="s">
        <v>2905</v>
      </c>
      <c r="D380">
        <v>0</v>
      </c>
      <c r="E380">
        <v>25</v>
      </c>
      <c r="F380">
        <v>10</v>
      </c>
      <c r="G380">
        <f>D380+E380+F380</f>
        <v>35</v>
      </c>
    </row>
    <row r="381" spans="1:7" x14ac:dyDescent="0.3">
      <c r="A381">
        <v>439100</v>
      </c>
      <c r="B381">
        <v>13</v>
      </c>
      <c r="C381" t="s">
        <v>2960</v>
      </c>
      <c r="D381">
        <v>0</v>
      </c>
      <c r="E381">
        <v>25</v>
      </c>
      <c r="F381">
        <v>10</v>
      </c>
      <c r="G381">
        <f>D381+E381+F381</f>
        <v>35</v>
      </c>
    </row>
    <row r="382" spans="1:7" x14ac:dyDescent="0.3">
      <c r="A382">
        <v>439100</v>
      </c>
      <c r="B382">
        <v>14</v>
      </c>
      <c r="C382" t="s">
        <v>2955</v>
      </c>
      <c r="D382">
        <v>0</v>
      </c>
      <c r="E382">
        <v>25</v>
      </c>
      <c r="F382">
        <v>10</v>
      </c>
      <c r="G382">
        <f>D382+E382+F382</f>
        <v>35</v>
      </c>
    </row>
    <row r="383" spans="1:7" x14ac:dyDescent="0.3">
      <c r="A383">
        <v>439100</v>
      </c>
      <c r="B383">
        <v>18</v>
      </c>
      <c r="C383" t="s">
        <v>2807</v>
      </c>
      <c r="D383">
        <v>0</v>
      </c>
      <c r="E383">
        <v>25</v>
      </c>
      <c r="F383">
        <v>10</v>
      </c>
      <c r="G383">
        <f>D383+E383+F383</f>
        <v>35</v>
      </c>
    </row>
    <row r="384" spans="1:7" x14ac:dyDescent="0.3">
      <c r="A384">
        <v>439100</v>
      </c>
      <c r="B384">
        <v>19</v>
      </c>
      <c r="C384" t="s">
        <v>2880</v>
      </c>
      <c r="D384">
        <v>0</v>
      </c>
      <c r="E384">
        <v>25</v>
      </c>
      <c r="F384">
        <v>10</v>
      </c>
      <c r="G384">
        <f>D384+E384+F384</f>
        <v>35</v>
      </c>
    </row>
    <row r="385" spans="1:7" x14ac:dyDescent="0.3">
      <c r="A385">
        <v>439100</v>
      </c>
      <c r="B385">
        <v>23</v>
      </c>
      <c r="C385" t="s">
        <v>2966</v>
      </c>
      <c r="D385">
        <v>0</v>
      </c>
      <c r="E385">
        <v>25</v>
      </c>
      <c r="F385">
        <v>10</v>
      </c>
      <c r="G385">
        <f>D385+E385+F385</f>
        <v>35</v>
      </c>
    </row>
    <row r="386" spans="1:7" x14ac:dyDescent="0.3">
      <c r="A386">
        <v>439100</v>
      </c>
      <c r="B386">
        <v>24</v>
      </c>
      <c r="C386" t="s">
        <v>2817</v>
      </c>
      <c r="D386">
        <v>0</v>
      </c>
      <c r="E386">
        <v>25</v>
      </c>
      <c r="F386">
        <v>10</v>
      </c>
      <c r="G386">
        <f>D386+E386+F386</f>
        <v>35</v>
      </c>
    </row>
    <row r="387" spans="1:7" x14ac:dyDescent="0.3">
      <c r="A387">
        <v>439100</v>
      </c>
      <c r="B387">
        <v>25</v>
      </c>
      <c r="C387" t="s">
        <v>2803</v>
      </c>
      <c r="D387">
        <v>0</v>
      </c>
      <c r="E387">
        <v>25</v>
      </c>
      <c r="F387">
        <v>10</v>
      </c>
      <c r="G387">
        <f>D387+E387+F387</f>
        <v>35</v>
      </c>
    </row>
    <row r="388" spans="1:7" x14ac:dyDescent="0.3">
      <c r="A388">
        <v>439100</v>
      </c>
      <c r="B388">
        <v>26</v>
      </c>
      <c r="C388" t="s">
        <v>2910</v>
      </c>
      <c r="D388">
        <v>0</v>
      </c>
      <c r="E388">
        <v>25</v>
      </c>
      <c r="F388">
        <v>10</v>
      </c>
      <c r="G388">
        <f>D388+E388+F388</f>
        <v>35</v>
      </c>
    </row>
    <row r="389" spans="1:7" x14ac:dyDescent="0.3">
      <c r="A389">
        <v>439100</v>
      </c>
      <c r="B389">
        <v>27</v>
      </c>
      <c r="C389" t="s">
        <v>2886</v>
      </c>
      <c r="D389">
        <v>0</v>
      </c>
      <c r="E389">
        <v>25</v>
      </c>
      <c r="F389">
        <v>10</v>
      </c>
      <c r="G389">
        <f>D389+E389+F389</f>
        <v>35</v>
      </c>
    </row>
    <row r="390" spans="1:7" x14ac:dyDescent="0.3">
      <c r="A390">
        <v>439100</v>
      </c>
      <c r="B390">
        <v>28</v>
      </c>
      <c r="C390" t="s">
        <v>2898</v>
      </c>
      <c r="D390">
        <v>0</v>
      </c>
      <c r="E390">
        <v>25</v>
      </c>
      <c r="F390">
        <v>10</v>
      </c>
      <c r="G390">
        <f>D390+E390+F390</f>
        <v>35</v>
      </c>
    </row>
    <row r="391" spans="1:7" x14ac:dyDescent="0.3">
      <c r="A391">
        <v>439100</v>
      </c>
      <c r="B391">
        <v>30</v>
      </c>
      <c r="C391" t="s">
        <v>2916</v>
      </c>
      <c r="D391">
        <v>0</v>
      </c>
      <c r="E391">
        <v>25</v>
      </c>
      <c r="F391">
        <v>10</v>
      </c>
      <c r="G391">
        <f>D391+E391+F391</f>
        <v>35</v>
      </c>
    </row>
    <row r="392" spans="1:7" x14ac:dyDescent="0.3">
      <c r="A392">
        <v>439100</v>
      </c>
      <c r="B392">
        <v>32</v>
      </c>
      <c r="C392" t="s">
        <v>2943</v>
      </c>
      <c r="D392">
        <v>0</v>
      </c>
      <c r="E392">
        <v>25</v>
      </c>
      <c r="F392">
        <v>10</v>
      </c>
      <c r="G392">
        <f>D392+E392+F392</f>
        <v>35</v>
      </c>
    </row>
    <row r="393" spans="1:7" x14ac:dyDescent="0.3">
      <c r="A393">
        <v>439100</v>
      </c>
      <c r="B393">
        <v>33</v>
      </c>
      <c r="C393" t="s">
        <v>2869</v>
      </c>
      <c r="D393">
        <v>0</v>
      </c>
      <c r="E393">
        <v>25</v>
      </c>
      <c r="F393">
        <v>10</v>
      </c>
      <c r="G393">
        <f>D393+E393+F393</f>
        <v>35</v>
      </c>
    </row>
    <row r="394" spans="1:7" x14ac:dyDescent="0.3">
      <c r="A394">
        <v>439900</v>
      </c>
      <c r="B394">
        <v>15</v>
      </c>
      <c r="C394" t="s">
        <v>3034</v>
      </c>
      <c r="D394">
        <v>0</v>
      </c>
      <c r="E394">
        <v>25</v>
      </c>
      <c r="F394">
        <v>10</v>
      </c>
      <c r="G394">
        <f>D394+E394+F394</f>
        <v>35</v>
      </c>
    </row>
    <row r="395" spans="1:7" x14ac:dyDescent="0.3">
      <c r="A395">
        <v>439900</v>
      </c>
      <c r="B395">
        <v>19</v>
      </c>
      <c r="C395" t="s">
        <v>3116</v>
      </c>
      <c r="D395">
        <v>0</v>
      </c>
      <c r="E395">
        <v>25</v>
      </c>
      <c r="F395">
        <v>10</v>
      </c>
      <c r="G395">
        <f>D395+E395+F395</f>
        <v>35</v>
      </c>
    </row>
    <row r="396" spans="1:7" x14ac:dyDescent="0.3">
      <c r="A396">
        <v>439900</v>
      </c>
      <c r="B396">
        <v>21</v>
      </c>
      <c r="C396" t="s">
        <v>3132</v>
      </c>
      <c r="D396">
        <v>0</v>
      </c>
      <c r="E396">
        <v>25</v>
      </c>
      <c r="F396">
        <v>10</v>
      </c>
      <c r="G396">
        <f>D396+E396+F396</f>
        <v>35</v>
      </c>
    </row>
    <row r="397" spans="1:7" x14ac:dyDescent="0.3">
      <c r="A397">
        <v>439900</v>
      </c>
      <c r="B397">
        <v>23</v>
      </c>
      <c r="C397" t="s">
        <v>3010</v>
      </c>
      <c r="D397">
        <v>0</v>
      </c>
      <c r="E397">
        <v>25</v>
      </c>
      <c r="F397">
        <v>10</v>
      </c>
      <c r="G397">
        <f>D397+E397+F397</f>
        <v>35</v>
      </c>
    </row>
    <row r="398" spans="1:7" x14ac:dyDescent="0.3">
      <c r="A398">
        <v>439900</v>
      </c>
      <c r="B398">
        <v>28</v>
      </c>
      <c r="C398" t="s">
        <v>3090</v>
      </c>
      <c r="D398">
        <v>0</v>
      </c>
      <c r="E398">
        <v>25</v>
      </c>
      <c r="F398">
        <v>10</v>
      </c>
      <c r="G398">
        <f>D398+E398+F398</f>
        <v>35</v>
      </c>
    </row>
    <row r="399" spans="1:7" x14ac:dyDescent="0.3">
      <c r="A399">
        <v>681200</v>
      </c>
      <c r="B399">
        <v>8</v>
      </c>
      <c r="C399" t="s">
        <v>3182</v>
      </c>
      <c r="D399">
        <v>0</v>
      </c>
      <c r="E399">
        <v>25</v>
      </c>
      <c r="F399">
        <v>10</v>
      </c>
      <c r="G399">
        <f>D399+E399+F399</f>
        <v>35</v>
      </c>
    </row>
    <row r="400" spans="1:7" x14ac:dyDescent="0.3">
      <c r="A400">
        <v>681200</v>
      </c>
      <c r="B400">
        <v>10</v>
      </c>
      <c r="C400" t="s">
        <v>3201</v>
      </c>
      <c r="D400">
        <v>0</v>
      </c>
      <c r="E400">
        <v>25</v>
      </c>
      <c r="F400">
        <v>10</v>
      </c>
      <c r="G400">
        <f>D400+E400+F400</f>
        <v>35</v>
      </c>
    </row>
    <row r="401" spans="1:7" x14ac:dyDescent="0.3">
      <c r="A401">
        <v>813000</v>
      </c>
      <c r="B401">
        <v>9</v>
      </c>
      <c r="C401" t="s">
        <v>3613</v>
      </c>
      <c r="D401">
        <v>0</v>
      </c>
      <c r="E401">
        <v>25</v>
      </c>
      <c r="F401">
        <v>10</v>
      </c>
      <c r="G401">
        <f>D401+E401+F401</f>
        <v>35</v>
      </c>
    </row>
    <row r="402" spans="1:7" x14ac:dyDescent="0.3">
      <c r="A402">
        <v>813000</v>
      </c>
      <c r="B402">
        <v>13</v>
      </c>
      <c r="C402" t="s">
        <v>3650</v>
      </c>
      <c r="D402">
        <v>0</v>
      </c>
      <c r="E402">
        <v>25</v>
      </c>
      <c r="F402">
        <v>10</v>
      </c>
      <c r="G402">
        <f>D402+E402+F402</f>
        <v>35</v>
      </c>
    </row>
    <row r="403" spans="1:7" x14ac:dyDescent="0.3">
      <c r="A403">
        <v>813000</v>
      </c>
      <c r="B403">
        <v>14</v>
      </c>
      <c r="C403" t="s">
        <v>3592</v>
      </c>
      <c r="D403">
        <v>0</v>
      </c>
      <c r="E403">
        <v>25</v>
      </c>
      <c r="F403">
        <v>10</v>
      </c>
      <c r="G403">
        <f>D403+E403+F403</f>
        <v>35</v>
      </c>
    </row>
    <row r="404" spans="1:7" x14ac:dyDescent="0.3">
      <c r="A404">
        <v>410000</v>
      </c>
      <c r="B404">
        <v>21</v>
      </c>
      <c r="C404" t="s">
        <v>53</v>
      </c>
      <c r="D404">
        <v>14</v>
      </c>
      <c r="E404">
        <v>10</v>
      </c>
      <c r="F404">
        <v>10</v>
      </c>
      <c r="G404">
        <f>D404+E404+F404</f>
        <v>34</v>
      </c>
    </row>
    <row r="405" spans="1:7" x14ac:dyDescent="0.3">
      <c r="A405">
        <v>410000</v>
      </c>
      <c r="B405">
        <v>44</v>
      </c>
      <c r="C405" t="s">
        <v>535</v>
      </c>
      <c r="D405">
        <v>14</v>
      </c>
      <c r="E405">
        <v>10</v>
      </c>
      <c r="F405">
        <v>10</v>
      </c>
      <c r="G405">
        <f>D405+E405+F405</f>
        <v>34</v>
      </c>
    </row>
    <row r="406" spans="1:7" x14ac:dyDescent="0.3">
      <c r="A406">
        <v>410000</v>
      </c>
      <c r="B406">
        <v>45</v>
      </c>
      <c r="C406" t="s">
        <v>410</v>
      </c>
      <c r="D406">
        <v>14</v>
      </c>
      <c r="E406">
        <v>10</v>
      </c>
      <c r="F406">
        <v>10</v>
      </c>
      <c r="G406">
        <f>D406+E406+F406</f>
        <v>34</v>
      </c>
    </row>
    <row r="407" spans="1:7" x14ac:dyDescent="0.3">
      <c r="A407">
        <v>410000</v>
      </c>
      <c r="B407">
        <v>46</v>
      </c>
      <c r="C407" t="s">
        <v>212</v>
      </c>
      <c r="D407">
        <v>13</v>
      </c>
      <c r="E407">
        <v>10</v>
      </c>
      <c r="F407">
        <v>10</v>
      </c>
      <c r="G407">
        <f>D407+E407+F407</f>
        <v>33</v>
      </c>
    </row>
    <row r="408" spans="1:7" x14ac:dyDescent="0.3">
      <c r="A408">
        <v>422100</v>
      </c>
      <c r="B408">
        <v>13</v>
      </c>
      <c r="C408" t="s">
        <v>1115</v>
      </c>
      <c r="D408">
        <v>11</v>
      </c>
      <c r="E408">
        <v>10</v>
      </c>
      <c r="F408">
        <v>10</v>
      </c>
      <c r="G408">
        <f>D408+E408+F408</f>
        <v>31</v>
      </c>
    </row>
    <row r="409" spans="1:7" x14ac:dyDescent="0.3">
      <c r="A409">
        <v>422100</v>
      </c>
      <c r="B409">
        <v>14</v>
      </c>
      <c r="C409" t="s">
        <v>1130</v>
      </c>
      <c r="D409">
        <v>11</v>
      </c>
      <c r="E409">
        <v>10</v>
      </c>
      <c r="F409">
        <v>10</v>
      </c>
      <c r="G409">
        <f>D409+E409+F409</f>
        <v>31</v>
      </c>
    </row>
    <row r="410" spans="1:7" x14ac:dyDescent="0.3">
      <c r="A410">
        <v>422100</v>
      </c>
      <c r="B410">
        <v>15</v>
      </c>
      <c r="C410" t="s">
        <v>1052</v>
      </c>
      <c r="D410">
        <v>10</v>
      </c>
      <c r="E410">
        <v>10</v>
      </c>
      <c r="F410">
        <v>10</v>
      </c>
      <c r="G410">
        <f>D410+E410+F410</f>
        <v>30</v>
      </c>
    </row>
    <row r="411" spans="1:7" x14ac:dyDescent="0.3">
      <c r="A411">
        <v>431200</v>
      </c>
      <c r="B411">
        <v>10</v>
      </c>
      <c r="C411" t="s">
        <v>1334</v>
      </c>
      <c r="D411">
        <v>10</v>
      </c>
      <c r="E411">
        <v>10</v>
      </c>
      <c r="F411">
        <v>10</v>
      </c>
      <c r="G411">
        <f>D411+E411+F411</f>
        <v>30</v>
      </c>
    </row>
    <row r="412" spans="1:7" x14ac:dyDescent="0.3">
      <c r="A412">
        <v>410000</v>
      </c>
      <c r="B412">
        <v>3</v>
      </c>
      <c r="C412" t="s">
        <v>451</v>
      </c>
      <c r="D412">
        <v>0</v>
      </c>
      <c r="E412">
        <v>10</v>
      </c>
      <c r="F412">
        <v>10</v>
      </c>
      <c r="G412">
        <f>D412+E412+F412</f>
        <v>20</v>
      </c>
    </row>
    <row r="413" spans="1:7" x14ac:dyDescent="0.3">
      <c r="A413">
        <v>410000</v>
      </c>
      <c r="B413">
        <v>5</v>
      </c>
      <c r="C413" t="s">
        <v>618</v>
      </c>
      <c r="D413">
        <v>0</v>
      </c>
      <c r="E413">
        <v>10</v>
      </c>
      <c r="F413">
        <v>10</v>
      </c>
      <c r="G413">
        <f>D413+E413+F413</f>
        <v>20</v>
      </c>
    </row>
    <row r="414" spans="1:7" x14ac:dyDescent="0.3">
      <c r="A414">
        <v>410000</v>
      </c>
      <c r="B414">
        <v>6</v>
      </c>
      <c r="C414" t="s">
        <v>508</v>
      </c>
      <c r="D414">
        <v>0</v>
      </c>
      <c r="E414">
        <v>10</v>
      </c>
      <c r="F414">
        <v>10</v>
      </c>
      <c r="G414">
        <f>D414+E414+F414</f>
        <v>20</v>
      </c>
    </row>
    <row r="415" spans="1:7" x14ac:dyDescent="0.3">
      <c r="A415">
        <v>410000</v>
      </c>
      <c r="B415">
        <v>7</v>
      </c>
      <c r="C415" t="s">
        <v>385</v>
      </c>
      <c r="D415">
        <v>0</v>
      </c>
      <c r="E415">
        <v>10</v>
      </c>
      <c r="F415">
        <v>10</v>
      </c>
      <c r="G415">
        <f>D415+E415+F415</f>
        <v>20</v>
      </c>
    </row>
    <row r="416" spans="1:7" x14ac:dyDescent="0.3">
      <c r="A416">
        <v>410000</v>
      </c>
      <c r="B416">
        <v>8</v>
      </c>
      <c r="C416" t="s">
        <v>76</v>
      </c>
      <c r="D416">
        <v>0</v>
      </c>
      <c r="E416">
        <v>10</v>
      </c>
      <c r="F416">
        <v>10</v>
      </c>
      <c r="G416">
        <f>D416+E416+F416</f>
        <v>20</v>
      </c>
    </row>
    <row r="417" spans="1:7" x14ac:dyDescent="0.3">
      <c r="A417">
        <v>410000</v>
      </c>
      <c r="B417">
        <v>9</v>
      </c>
      <c r="C417" t="s">
        <v>592</v>
      </c>
      <c r="D417">
        <v>0</v>
      </c>
      <c r="E417">
        <v>10</v>
      </c>
      <c r="F417">
        <v>10</v>
      </c>
      <c r="G417">
        <f>D417+E417+F417</f>
        <v>20</v>
      </c>
    </row>
    <row r="418" spans="1:7" x14ac:dyDescent="0.3">
      <c r="A418">
        <v>410000</v>
      </c>
      <c r="B418">
        <v>10</v>
      </c>
      <c r="C418" t="s">
        <v>527</v>
      </c>
      <c r="D418">
        <v>0</v>
      </c>
      <c r="E418">
        <v>10</v>
      </c>
      <c r="F418">
        <v>10</v>
      </c>
      <c r="G418">
        <f>D418+E418+F418</f>
        <v>20</v>
      </c>
    </row>
    <row r="419" spans="1:7" x14ac:dyDescent="0.3">
      <c r="A419">
        <v>410000</v>
      </c>
      <c r="B419">
        <v>11</v>
      </c>
      <c r="C419" t="s">
        <v>61</v>
      </c>
      <c r="D419">
        <v>0</v>
      </c>
      <c r="E419">
        <v>10</v>
      </c>
      <c r="F419">
        <v>10</v>
      </c>
      <c r="G419">
        <f>D419+E419+F419</f>
        <v>20</v>
      </c>
    </row>
    <row r="420" spans="1:7" x14ac:dyDescent="0.3">
      <c r="A420">
        <v>410000</v>
      </c>
      <c r="B420">
        <v>12</v>
      </c>
      <c r="C420" t="s">
        <v>653</v>
      </c>
      <c r="D420">
        <v>0</v>
      </c>
      <c r="E420">
        <v>10</v>
      </c>
      <c r="F420">
        <v>10</v>
      </c>
      <c r="G420">
        <f>D420+E420+F420</f>
        <v>20</v>
      </c>
    </row>
    <row r="421" spans="1:7" x14ac:dyDescent="0.3">
      <c r="A421">
        <v>410000</v>
      </c>
      <c r="B421">
        <v>13</v>
      </c>
      <c r="C421" t="s">
        <v>141</v>
      </c>
      <c r="D421">
        <v>0</v>
      </c>
      <c r="E421">
        <v>10</v>
      </c>
      <c r="F421">
        <v>10</v>
      </c>
      <c r="G421">
        <f>D421+E421+F421</f>
        <v>20</v>
      </c>
    </row>
    <row r="422" spans="1:7" x14ac:dyDescent="0.3">
      <c r="A422">
        <v>410000</v>
      </c>
      <c r="B422">
        <v>14</v>
      </c>
      <c r="C422" t="s">
        <v>513</v>
      </c>
      <c r="D422">
        <v>0</v>
      </c>
      <c r="E422">
        <v>10</v>
      </c>
      <c r="F422">
        <v>10</v>
      </c>
      <c r="G422">
        <f>D422+E422+F422</f>
        <v>20</v>
      </c>
    </row>
    <row r="423" spans="1:7" x14ac:dyDescent="0.3">
      <c r="A423">
        <v>410000</v>
      </c>
      <c r="B423">
        <v>15</v>
      </c>
      <c r="C423" t="s">
        <v>296</v>
      </c>
      <c r="D423">
        <v>0</v>
      </c>
      <c r="E423">
        <v>10</v>
      </c>
      <c r="F423">
        <v>10</v>
      </c>
      <c r="G423">
        <f>D423+E423+F423</f>
        <v>20</v>
      </c>
    </row>
    <row r="424" spans="1:7" x14ac:dyDescent="0.3">
      <c r="A424">
        <v>410000</v>
      </c>
      <c r="B424">
        <v>16</v>
      </c>
      <c r="C424" t="s">
        <v>667</v>
      </c>
      <c r="D424">
        <v>0</v>
      </c>
      <c r="E424">
        <v>10</v>
      </c>
      <c r="F424">
        <v>10</v>
      </c>
      <c r="G424">
        <f>D424+E424+F424</f>
        <v>20</v>
      </c>
    </row>
    <row r="425" spans="1:7" x14ac:dyDescent="0.3">
      <c r="A425">
        <v>410000</v>
      </c>
      <c r="B425">
        <v>18</v>
      </c>
      <c r="C425" t="s">
        <v>202</v>
      </c>
      <c r="D425">
        <v>0</v>
      </c>
      <c r="E425">
        <v>10</v>
      </c>
      <c r="F425">
        <v>10</v>
      </c>
      <c r="G425">
        <f>D425+E425+F425</f>
        <v>20</v>
      </c>
    </row>
    <row r="426" spans="1:7" x14ac:dyDescent="0.3">
      <c r="A426">
        <v>410000</v>
      </c>
      <c r="B426">
        <v>20</v>
      </c>
      <c r="C426" t="s">
        <v>170</v>
      </c>
      <c r="D426">
        <v>0</v>
      </c>
      <c r="E426">
        <v>10</v>
      </c>
      <c r="F426">
        <v>10</v>
      </c>
      <c r="G426">
        <f>D426+E426+F426</f>
        <v>20</v>
      </c>
    </row>
    <row r="427" spans="1:7" x14ac:dyDescent="0.3">
      <c r="A427">
        <v>410000</v>
      </c>
      <c r="B427">
        <v>48</v>
      </c>
      <c r="C427" t="s">
        <v>578</v>
      </c>
      <c r="D427">
        <v>0</v>
      </c>
      <c r="E427">
        <v>10</v>
      </c>
      <c r="F427">
        <v>10</v>
      </c>
      <c r="G427">
        <f>D427+E427+F427</f>
        <v>20</v>
      </c>
    </row>
    <row r="428" spans="1:7" x14ac:dyDescent="0.3">
      <c r="A428">
        <v>410000</v>
      </c>
      <c r="B428">
        <v>49</v>
      </c>
      <c r="C428" t="s">
        <v>483</v>
      </c>
      <c r="D428">
        <v>0</v>
      </c>
      <c r="E428">
        <v>10</v>
      </c>
      <c r="F428">
        <v>10</v>
      </c>
      <c r="G428">
        <f>D428+E428+F428</f>
        <v>20</v>
      </c>
    </row>
    <row r="429" spans="1:7" x14ac:dyDescent="0.3">
      <c r="A429">
        <v>410000</v>
      </c>
      <c r="B429">
        <v>50</v>
      </c>
      <c r="C429" t="s">
        <v>340</v>
      </c>
      <c r="D429">
        <v>0</v>
      </c>
      <c r="E429">
        <v>10</v>
      </c>
      <c r="F429">
        <v>10</v>
      </c>
      <c r="G429">
        <f>D429+E429+F429</f>
        <v>20</v>
      </c>
    </row>
    <row r="430" spans="1:7" x14ac:dyDescent="0.3">
      <c r="A430">
        <v>410000</v>
      </c>
      <c r="B430">
        <v>51</v>
      </c>
      <c r="C430" t="s">
        <v>290</v>
      </c>
      <c r="D430">
        <v>0</v>
      </c>
      <c r="E430">
        <v>10</v>
      </c>
      <c r="F430">
        <v>10</v>
      </c>
      <c r="G430">
        <f>D430+E430+F430</f>
        <v>20</v>
      </c>
    </row>
    <row r="431" spans="1:7" x14ac:dyDescent="0.3">
      <c r="A431">
        <v>410000</v>
      </c>
      <c r="B431">
        <v>53</v>
      </c>
      <c r="C431" t="s">
        <v>443</v>
      </c>
      <c r="D431">
        <v>0</v>
      </c>
      <c r="E431">
        <v>10</v>
      </c>
      <c r="F431">
        <v>10</v>
      </c>
      <c r="G431">
        <f>D431+E431+F431</f>
        <v>20</v>
      </c>
    </row>
    <row r="432" spans="1:7" x14ac:dyDescent="0.3">
      <c r="A432">
        <v>410000</v>
      </c>
      <c r="B432">
        <v>54</v>
      </c>
      <c r="C432" t="s">
        <v>604</v>
      </c>
      <c r="D432">
        <v>0</v>
      </c>
      <c r="E432">
        <v>10</v>
      </c>
      <c r="F432">
        <v>10</v>
      </c>
      <c r="G432">
        <f>D432+E432+F432</f>
        <v>20</v>
      </c>
    </row>
    <row r="433" spans="1:7" x14ac:dyDescent="0.3">
      <c r="A433">
        <v>410000</v>
      </c>
      <c r="B433">
        <v>55</v>
      </c>
      <c r="C433" t="s">
        <v>703</v>
      </c>
      <c r="D433">
        <v>0</v>
      </c>
      <c r="E433">
        <v>10</v>
      </c>
      <c r="F433">
        <v>10</v>
      </c>
      <c r="G433">
        <f>D433+E433+F433</f>
        <v>20</v>
      </c>
    </row>
    <row r="434" spans="1:7" x14ac:dyDescent="0.3">
      <c r="A434">
        <v>410000</v>
      </c>
      <c r="B434">
        <v>56</v>
      </c>
      <c r="C434" t="s">
        <v>189</v>
      </c>
      <c r="D434">
        <v>0</v>
      </c>
      <c r="E434">
        <v>10</v>
      </c>
      <c r="F434">
        <v>10</v>
      </c>
      <c r="G434">
        <f>D434+E434+F434</f>
        <v>20</v>
      </c>
    </row>
    <row r="435" spans="1:7" x14ac:dyDescent="0.3">
      <c r="A435">
        <v>410000</v>
      </c>
      <c r="B435">
        <v>59</v>
      </c>
      <c r="C435" t="s">
        <v>520</v>
      </c>
      <c r="D435">
        <v>0</v>
      </c>
      <c r="E435">
        <v>10</v>
      </c>
      <c r="F435">
        <v>10</v>
      </c>
      <c r="G435">
        <f>D435+E435+F435</f>
        <v>20</v>
      </c>
    </row>
    <row r="436" spans="1:7" x14ac:dyDescent="0.3">
      <c r="A436">
        <v>410000</v>
      </c>
      <c r="B436">
        <v>61</v>
      </c>
      <c r="C436" t="s">
        <v>119</v>
      </c>
      <c r="D436">
        <v>0</v>
      </c>
      <c r="E436">
        <v>10</v>
      </c>
      <c r="F436">
        <v>10</v>
      </c>
      <c r="G436">
        <f>D436+E436+F436</f>
        <v>20</v>
      </c>
    </row>
    <row r="437" spans="1:7" x14ac:dyDescent="0.3">
      <c r="A437">
        <v>410000</v>
      </c>
      <c r="B437">
        <v>62</v>
      </c>
      <c r="C437" t="s">
        <v>255</v>
      </c>
      <c r="D437">
        <v>0</v>
      </c>
      <c r="E437">
        <v>10</v>
      </c>
      <c r="F437">
        <v>10</v>
      </c>
      <c r="G437">
        <f>D437+E437+F437</f>
        <v>20</v>
      </c>
    </row>
    <row r="438" spans="1:7" x14ac:dyDescent="0.3">
      <c r="A438">
        <v>410000</v>
      </c>
      <c r="B438">
        <v>63</v>
      </c>
      <c r="C438" t="s">
        <v>638</v>
      </c>
      <c r="D438">
        <v>0</v>
      </c>
      <c r="E438">
        <v>10</v>
      </c>
      <c r="F438">
        <v>10</v>
      </c>
      <c r="G438">
        <f>D438+E438+F438</f>
        <v>20</v>
      </c>
    </row>
    <row r="439" spans="1:7" x14ac:dyDescent="0.3">
      <c r="A439">
        <v>410000</v>
      </c>
      <c r="B439">
        <v>64</v>
      </c>
      <c r="C439" t="s">
        <v>563</v>
      </c>
      <c r="D439">
        <v>0</v>
      </c>
      <c r="E439">
        <v>10</v>
      </c>
      <c r="F439">
        <v>10</v>
      </c>
      <c r="G439">
        <f>D439+E439+F439</f>
        <v>20</v>
      </c>
    </row>
    <row r="440" spans="1:7" x14ac:dyDescent="0.3">
      <c r="A440">
        <v>410000</v>
      </c>
      <c r="B440">
        <v>68</v>
      </c>
      <c r="C440" t="s">
        <v>311</v>
      </c>
      <c r="D440">
        <v>0</v>
      </c>
      <c r="E440">
        <v>10</v>
      </c>
      <c r="F440">
        <v>10</v>
      </c>
      <c r="G440">
        <f>D440+E440+F440</f>
        <v>20</v>
      </c>
    </row>
    <row r="441" spans="1:7" x14ac:dyDescent="0.3">
      <c r="A441">
        <v>410000</v>
      </c>
      <c r="B441">
        <v>71</v>
      </c>
      <c r="C441" t="s">
        <v>646</v>
      </c>
      <c r="D441">
        <v>0</v>
      </c>
      <c r="E441">
        <v>10</v>
      </c>
      <c r="F441">
        <v>10</v>
      </c>
      <c r="G441">
        <f>D441+E441+F441</f>
        <v>20</v>
      </c>
    </row>
    <row r="442" spans="1:7" x14ac:dyDescent="0.3">
      <c r="A442">
        <v>410000</v>
      </c>
      <c r="B442">
        <v>73</v>
      </c>
      <c r="C442" t="s">
        <v>429</v>
      </c>
      <c r="D442">
        <v>0</v>
      </c>
      <c r="E442">
        <v>10</v>
      </c>
      <c r="F442">
        <v>10</v>
      </c>
      <c r="G442">
        <f>D442+E442+F442</f>
        <v>20</v>
      </c>
    </row>
    <row r="443" spans="1:7" x14ac:dyDescent="0.3">
      <c r="A443">
        <v>410000</v>
      </c>
      <c r="B443">
        <v>75</v>
      </c>
      <c r="C443" t="s">
        <v>691</v>
      </c>
      <c r="D443">
        <v>0</v>
      </c>
      <c r="E443">
        <v>10</v>
      </c>
      <c r="F443">
        <v>10</v>
      </c>
      <c r="G443">
        <f>D443+E443+F443</f>
        <v>20</v>
      </c>
    </row>
    <row r="444" spans="1:7" x14ac:dyDescent="0.3">
      <c r="A444">
        <v>410000</v>
      </c>
      <c r="B444">
        <v>76</v>
      </c>
      <c r="C444" t="s">
        <v>234</v>
      </c>
      <c r="D444">
        <v>0</v>
      </c>
      <c r="E444">
        <v>10</v>
      </c>
      <c r="F444">
        <v>10</v>
      </c>
      <c r="G444">
        <f>D444+E444+F444</f>
        <v>20</v>
      </c>
    </row>
    <row r="445" spans="1:7" x14ac:dyDescent="0.3">
      <c r="A445">
        <v>410000</v>
      </c>
      <c r="B445">
        <v>77</v>
      </c>
      <c r="C445" t="s">
        <v>155</v>
      </c>
      <c r="D445">
        <v>0</v>
      </c>
      <c r="E445">
        <v>10</v>
      </c>
      <c r="F445">
        <v>10</v>
      </c>
      <c r="G445">
        <f>D445+E445+F445</f>
        <v>20</v>
      </c>
    </row>
    <row r="446" spans="1:7" x14ac:dyDescent="0.3">
      <c r="A446">
        <v>410000</v>
      </c>
      <c r="B446">
        <v>82</v>
      </c>
      <c r="C446" t="s">
        <v>624</v>
      </c>
      <c r="D446">
        <v>0</v>
      </c>
      <c r="E446">
        <v>10</v>
      </c>
      <c r="F446">
        <v>10</v>
      </c>
      <c r="G446">
        <f>D446+E446+F446</f>
        <v>20</v>
      </c>
    </row>
    <row r="447" spans="1:7" x14ac:dyDescent="0.3">
      <c r="A447">
        <v>410000</v>
      </c>
      <c r="B447">
        <v>83</v>
      </c>
      <c r="C447" t="s">
        <v>713</v>
      </c>
      <c r="D447">
        <v>0</v>
      </c>
      <c r="E447">
        <v>10</v>
      </c>
      <c r="F447">
        <v>10</v>
      </c>
      <c r="G447">
        <f>D447+E447+F447</f>
        <v>20</v>
      </c>
    </row>
    <row r="448" spans="1:7" x14ac:dyDescent="0.3">
      <c r="A448">
        <v>410000</v>
      </c>
      <c r="B448">
        <v>85</v>
      </c>
      <c r="C448" t="s">
        <v>709</v>
      </c>
      <c r="D448">
        <v>0</v>
      </c>
      <c r="E448">
        <v>10</v>
      </c>
      <c r="F448">
        <v>10</v>
      </c>
      <c r="G448">
        <f>D448+E448+F448</f>
        <v>20</v>
      </c>
    </row>
    <row r="449" spans="1:7" x14ac:dyDescent="0.3">
      <c r="A449">
        <v>410000</v>
      </c>
      <c r="B449">
        <v>89</v>
      </c>
      <c r="C449" t="s">
        <v>206</v>
      </c>
      <c r="D449">
        <v>0</v>
      </c>
      <c r="E449">
        <v>10</v>
      </c>
      <c r="F449">
        <v>10</v>
      </c>
      <c r="G449">
        <f>D449+E449+F449</f>
        <v>20</v>
      </c>
    </row>
    <row r="450" spans="1:7" x14ac:dyDescent="0.3">
      <c r="A450">
        <v>410000</v>
      </c>
      <c r="B450">
        <v>90</v>
      </c>
      <c r="C450" t="s">
        <v>596</v>
      </c>
      <c r="D450">
        <v>0</v>
      </c>
      <c r="E450">
        <v>10</v>
      </c>
      <c r="F450">
        <v>10</v>
      </c>
      <c r="G450">
        <f>D450+E450+F450</f>
        <v>20</v>
      </c>
    </row>
    <row r="451" spans="1:7" x14ac:dyDescent="0.3">
      <c r="A451">
        <v>410000</v>
      </c>
      <c r="B451">
        <v>91</v>
      </c>
      <c r="C451" t="s">
        <v>498</v>
      </c>
      <c r="D451">
        <v>0</v>
      </c>
      <c r="E451">
        <v>10</v>
      </c>
      <c r="F451">
        <v>10</v>
      </c>
      <c r="G451">
        <f>D451+E451+F451</f>
        <v>20</v>
      </c>
    </row>
    <row r="452" spans="1:7" x14ac:dyDescent="0.3">
      <c r="A452">
        <v>410000</v>
      </c>
      <c r="B452">
        <v>92</v>
      </c>
      <c r="C452" t="s">
        <v>557</v>
      </c>
      <c r="D452">
        <v>0</v>
      </c>
      <c r="E452">
        <v>10</v>
      </c>
      <c r="F452">
        <v>10</v>
      </c>
      <c r="G452">
        <f>D452+E452+F452</f>
        <v>20</v>
      </c>
    </row>
    <row r="453" spans="1:7" x14ac:dyDescent="0.3">
      <c r="A453">
        <v>410000</v>
      </c>
      <c r="B453">
        <v>93</v>
      </c>
      <c r="C453" t="s">
        <v>196</v>
      </c>
      <c r="D453">
        <v>0</v>
      </c>
      <c r="E453">
        <v>10</v>
      </c>
      <c r="F453">
        <v>10</v>
      </c>
      <c r="G453">
        <f>D453+E453+F453</f>
        <v>20</v>
      </c>
    </row>
    <row r="454" spans="1:7" x14ac:dyDescent="0.3">
      <c r="A454">
        <v>410000</v>
      </c>
      <c r="B454">
        <v>94</v>
      </c>
      <c r="C454" t="s">
        <v>324</v>
      </c>
      <c r="D454">
        <v>0</v>
      </c>
      <c r="E454">
        <v>10</v>
      </c>
      <c r="F454">
        <v>10</v>
      </c>
      <c r="G454">
        <f>D454+E454+F454</f>
        <v>20</v>
      </c>
    </row>
    <row r="455" spans="1:7" x14ac:dyDescent="0.3">
      <c r="A455">
        <v>410000</v>
      </c>
      <c r="B455">
        <v>96</v>
      </c>
      <c r="C455" t="s">
        <v>631</v>
      </c>
      <c r="D455">
        <v>0</v>
      </c>
      <c r="E455">
        <v>10</v>
      </c>
      <c r="F455">
        <v>10</v>
      </c>
      <c r="G455">
        <f>D455+E455+F455</f>
        <v>20</v>
      </c>
    </row>
    <row r="456" spans="1:7" x14ac:dyDescent="0.3">
      <c r="A456">
        <v>410000</v>
      </c>
      <c r="B456">
        <v>98</v>
      </c>
      <c r="C456" t="s">
        <v>45</v>
      </c>
      <c r="D456">
        <v>0</v>
      </c>
      <c r="E456">
        <v>10</v>
      </c>
      <c r="F456">
        <v>10</v>
      </c>
      <c r="G456">
        <f>D456+E456+F456</f>
        <v>20</v>
      </c>
    </row>
    <row r="457" spans="1:7" x14ac:dyDescent="0.3">
      <c r="A457">
        <v>410000</v>
      </c>
      <c r="B457">
        <v>99</v>
      </c>
      <c r="C457" t="s">
        <v>399</v>
      </c>
      <c r="D457">
        <v>0</v>
      </c>
      <c r="E457">
        <v>10</v>
      </c>
      <c r="F457">
        <v>10</v>
      </c>
      <c r="G457">
        <f>D457+E457+F457</f>
        <v>20</v>
      </c>
    </row>
    <row r="458" spans="1:7" x14ac:dyDescent="0.3">
      <c r="A458">
        <v>410000</v>
      </c>
      <c r="B458">
        <v>100</v>
      </c>
      <c r="C458" t="s">
        <v>104</v>
      </c>
      <c r="D458">
        <v>0</v>
      </c>
      <c r="E458">
        <v>10</v>
      </c>
      <c r="F458">
        <v>10</v>
      </c>
      <c r="G458">
        <f>D458+E458+F458</f>
        <v>20</v>
      </c>
    </row>
    <row r="459" spans="1:7" x14ac:dyDescent="0.3">
      <c r="A459">
        <v>410000</v>
      </c>
      <c r="B459">
        <v>102</v>
      </c>
      <c r="C459" t="s">
        <v>219</v>
      </c>
      <c r="D459">
        <v>0</v>
      </c>
      <c r="E459">
        <v>10</v>
      </c>
      <c r="F459">
        <v>10</v>
      </c>
      <c r="G459">
        <f>D459+E459+F459</f>
        <v>20</v>
      </c>
    </row>
    <row r="460" spans="1:7" x14ac:dyDescent="0.3">
      <c r="A460">
        <v>410000</v>
      </c>
      <c r="B460">
        <v>105</v>
      </c>
      <c r="C460" t="s">
        <v>418</v>
      </c>
      <c r="D460">
        <v>0</v>
      </c>
      <c r="E460">
        <v>10</v>
      </c>
      <c r="F460">
        <v>10</v>
      </c>
      <c r="G460">
        <f>D460+E460+F460</f>
        <v>20</v>
      </c>
    </row>
    <row r="461" spans="1:7" x14ac:dyDescent="0.3">
      <c r="A461">
        <v>410000</v>
      </c>
      <c r="B461">
        <v>106</v>
      </c>
      <c r="C461" t="s">
        <v>183</v>
      </c>
      <c r="D461">
        <v>0</v>
      </c>
      <c r="E461">
        <v>10</v>
      </c>
      <c r="F461">
        <v>10</v>
      </c>
      <c r="G461">
        <f>D461+E461+F461</f>
        <v>20</v>
      </c>
    </row>
    <row r="462" spans="1:7" x14ac:dyDescent="0.3">
      <c r="A462">
        <v>421100</v>
      </c>
      <c r="B462">
        <v>4</v>
      </c>
      <c r="C462" t="s">
        <v>898</v>
      </c>
      <c r="D462">
        <v>0</v>
      </c>
      <c r="E462">
        <v>10</v>
      </c>
      <c r="F462">
        <v>10</v>
      </c>
      <c r="G462">
        <f>D462+E462+F462</f>
        <v>20</v>
      </c>
    </row>
    <row r="463" spans="1:7" x14ac:dyDescent="0.3">
      <c r="A463">
        <v>421100</v>
      </c>
      <c r="B463">
        <v>9</v>
      </c>
      <c r="C463" t="s">
        <v>906</v>
      </c>
      <c r="D463">
        <v>0</v>
      </c>
      <c r="E463">
        <v>10</v>
      </c>
      <c r="F463">
        <v>10</v>
      </c>
      <c r="G463">
        <f>D463+E463+F463</f>
        <v>20</v>
      </c>
    </row>
    <row r="464" spans="1:7" x14ac:dyDescent="0.3">
      <c r="A464">
        <v>422100</v>
      </c>
      <c r="B464">
        <v>4</v>
      </c>
      <c r="C464" t="s">
        <v>1086</v>
      </c>
      <c r="D464">
        <v>0</v>
      </c>
      <c r="E464">
        <v>10</v>
      </c>
      <c r="F464">
        <v>10</v>
      </c>
      <c r="G464">
        <f>D464+E464+F464</f>
        <v>20</v>
      </c>
    </row>
    <row r="465" spans="1:7" x14ac:dyDescent="0.3">
      <c r="A465">
        <v>422100</v>
      </c>
      <c r="B465">
        <v>16</v>
      </c>
      <c r="C465" t="s">
        <v>1172</v>
      </c>
      <c r="D465">
        <v>0</v>
      </c>
      <c r="E465">
        <v>10</v>
      </c>
      <c r="F465">
        <v>10</v>
      </c>
      <c r="G465">
        <f>D465+E465+F465</f>
        <v>20</v>
      </c>
    </row>
    <row r="466" spans="1:7" x14ac:dyDescent="0.3">
      <c r="A466">
        <v>422100</v>
      </c>
      <c r="B466">
        <v>22</v>
      </c>
      <c r="C466" t="s">
        <v>1122</v>
      </c>
      <c r="D466">
        <v>0</v>
      </c>
      <c r="E466">
        <v>10</v>
      </c>
      <c r="F466">
        <v>10</v>
      </c>
      <c r="G466">
        <f>D466+E466+F466</f>
        <v>20</v>
      </c>
    </row>
    <row r="467" spans="1:7" x14ac:dyDescent="0.3">
      <c r="A467">
        <v>422100</v>
      </c>
      <c r="B467">
        <v>23</v>
      </c>
      <c r="C467" t="s">
        <v>1184</v>
      </c>
      <c r="D467">
        <v>0</v>
      </c>
      <c r="E467">
        <v>10</v>
      </c>
      <c r="F467">
        <v>10</v>
      </c>
      <c r="G467">
        <f>D467+E467+F467</f>
        <v>20</v>
      </c>
    </row>
    <row r="468" spans="1:7" x14ac:dyDescent="0.3">
      <c r="A468">
        <v>422100</v>
      </c>
      <c r="B468">
        <v>31</v>
      </c>
      <c r="C468" t="s">
        <v>1090</v>
      </c>
      <c r="D468">
        <v>0</v>
      </c>
      <c r="E468">
        <v>10</v>
      </c>
      <c r="F468">
        <v>10</v>
      </c>
      <c r="G468">
        <f>D468+E468+F468</f>
        <v>20</v>
      </c>
    </row>
    <row r="469" spans="1:7" x14ac:dyDescent="0.3">
      <c r="A469">
        <v>422100</v>
      </c>
      <c r="B469">
        <v>33</v>
      </c>
      <c r="C469" t="s">
        <v>1023</v>
      </c>
      <c r="D469">
        <v>0</v>
      </c>
      <c r="E469">
        <v>10</v>
      </c>
      <c r="F469">
        <v>10</v>
      </c>
      <c r="G469">
        <f>D469+E469+F469</f>
        <v>20</v>
      </c>
    </row>
    <row r="470" spans="1:7" x14ac:dyDescent="0.3">
      <c r="A470">
        <v>422100</v>
      </c>
      <c r="B470">
        <v>38</v>
      </c>
      <c r="C470" t="s">
        <v>1178</v>
      </c>
      <c r="D470">
        <v>0</v>
      </c>
      <c r="E470">
        <v>10</v>
      </c>
      <c r="F470">
        <v>10</v>
      </c>
      <c r="G470">
        <f>D470+E470+F470</f>
        <v>20</v>
      </c>
    </row>
    <row r="471" spans="1:7" x14ac:dyDescent="0.3">
      <c r="A471">
        <v>422100</v>
      </c>
      <c r="B471">
        <v>43</v>
      </c>
      <c r="C471" t="s">
        <v>1080</v>
      </c>
      <c r="D471">
        <v>0</v>
      </c>
      <c r="E471">
        <v>10</v>
      </c>
      <c r="F471">
        <v>10</v>
      </c>
      <c r="G471">
        <f>D471+E471+F471</f>
        <v>20</v>
      </c>
    </row>
    <row r="472" spans="1:7" x14ac:dyDescent="0.3">
      <c r="A472">
        <v>429900</v>
      </c>
      <c r="B472">
        <v>5</v>
      </c>
      <c r="C472" t="s">
        <v>1259</v>
      </c>
      <c r="D472">
        <v>0</v>
      </c>
      <c r="E472">
        <v>10</v>
      </c>
      <c r="F472">
        <v>10</v>
      </c>
      <c r="G472">
        <f>D472+E472+F472</f>
        <v>20</v>
      </c>
    </row>
    <row r="473" spans="1:7" x14ac:dyDescent="0.3">
      <c r="A473">
        <v>429900</v>
      </c>
      <c r="B473">
        <v>6</v>
      </c>
      <c r="C473" t="s">
        <v>1253</v>
      </c>
      <c r="D473">
        <v>0</v>
      </c>
      <c r="E473">
        <v>10</v>
      </c>
      <c r="F473">
        <v>10</v>
      </c>
      <c r="G473">
        <f>D473+E473+F473</f>
        <v>20</v>
      </c>
    </row>
    <row r="474" spans="1:7" x14ac:dyDescent="0.3">
      <c r="A474">
        <v>431200</v>
      </c>
      <c r="B474">
        <v>12</v>
      </c>
      <c r="C474" t="s">
        <v>1412</v>
      </c>
      <c r="D474">
        <v>0</v>
      </c>
      <c r="E474">
        <v>10</v>
      </c>
      <c r="F474">
        <v>10</v>
      </c>
      <c r="G474">
        <f>D474+E474+F474</f>
        <v>20</v>
      </c>
    </row>
    <row r="475" spans="1:7" x14ac:dyDescent="0.3">
      <c r="A475">
        <v>431200</v>
      </c>
      <c r="B475">
        <v>14</v>
      </c>
      <c r="C475" t="s">
        <v>1406</v>
      </c>
      <c r="D475">
        <v>0</v>
      </c>
      <c r="E475">
        <v>10</v>
      </c>
      <c r="F475">
        <v>10</v>
      </c>
      <c r="G475">
        <f>D475+E475+F475</f>
        <v>20</v>
      </c>
    </row>
    <row r="476" spans="1:7" x14ac:dyDescent="0.3">
      <c r="A476">
        <v>431200</v>
      </c>
      <c r="B476">
        <v>15</v>
      </c>
      <c r="C476" t="s">
        <v>1424</v>
      </c>
      <c r="D476">
        <v>0</v>
      </c>
      <c r="E476">
        <v>10</v>
      </c>
      <c r="F476">
        <v>10</v>
      </c>
      <c r="G476">
        <f>D476+E476+F476</f>
        <v>20</v>
      </c>
    </row>
    <row r="477" spans="1:7" x14ac:dyDescent="0.3">
      <c r="A477">
        <v>431200</v>
      </c>
      <c r="B477">
        <v>17</v>
      </c>
      <c r="C477" t="s">
        <v>1416</v>
      </c>
      <c r="D477">
        <v>0</v>
      </c>
      <c r="E477">
        <v>10</v>
      </c>
      <c r="F477">
        <v>10</v>
      </c>
      <c r="G477">
        <f>D477+E477+F477</f>
        <v>20</v>
      </c>
    </row>
    <row r="478" spans="1:7" x14ac:dyDescent="0.3">
      <c r="A478">
        <v>431200</v>
      </c>
      <c r="B478">
        <v>20</v>
      </c>
      <c r="C478" t="s">
        <v>1329</v>
      </c>
      <c r="D478">
        <v>0</v>
      </c>
      <c r="E478">
        <v>10</v>
      </c>
      <c r="F478">
        <v>10</v>
      </c>
      <c r="G478">
        <f>D478+E478+F478</f>
        <v>20</v>
      </c>
    </row>
    <row r="479" spans="1:7" x14ac:dyDescent="0.3">
      <c r="A479">
        <v>433200</v>
      </c>
      <c r="B479">
        <v>3</v>
      </c>
      <c r="C479" t="s">
        <v>2110</v>
      </c>
      <c r="D479">
        <v>0</v>
      </c>
      <c r="E479">
        <v>10</v>
      </c>
      <c r="F479">
        <v>10</v>
      </c>
      <c r="G479">
        <f>D479+E479+F479</f>
        <v>20</v>
      </c>
    </row>
    <row r="480" spans="1:7" x14ac:dyDescent="0.3">
      <c r="A480">
        <v>433200</v>
      </c>
      <c r="B480">
        <v>62</v>
      </c>
      <c r="C480" t="s">
        <v>2232</v>
      </c>
      <c r="D480">
        <v>0</v>
      </c>
      <c r="E480">
        <v>10</v>
      </c>
      <c r="F480">
        <v>10</v>
      </c>
      <c r="G480">
        <f>D480+E480+F480</f>
        <v>20</v>
      </c>
    </row>
    <row r="481" spans="1:7" x14ac:dyDescent="0.3">
      <c r="A481">
        <v>433200</v>
      </c>
      <c r="B481">
        <v>66</v>
      </c>
      <c r="C481" t="s">
        <v>2489</v>
      </c>
      <c r="D481">
        <v>0</v>
      </c>
      <c r="E481">
        <v>10</v>
      </c>
      <c r="F481">
        <v>10</v>
      </c>
      <c r="G481">
        <f>D481+E481+F481</f>
        <v>20</v>
      </c>
    </row>
    <row r="482" spans="1:7" x14ac:dyDescent="0.3">
      <c r="A482">
        <v>433200</v>
      </c>
      <c r="B482">
        <v>86</v>
      </c>
      <c r="C482" t="s">
        <v>2505</v>
      </c>
      <c r="D482">
        <v>0</v>
      </c>
      <c r="E482">
        <v>10</v>
      </c>
      <c r="F482">
        <v>10</v>
      </c>
      <c r="G482">
        <f>D482+E482+F482</f>
        <v>20</v>
      </c>
    </row>
    <row r="483" spans="1:7" x14ac:dyDescent="0.3">
      <c r="A483">
        <v>433200</v>
      </c>
      <c r="B483">
        <v>93</v>
      </c>
      <c r="C483" t="s">
        <v>1919</v>
      </c>
      <c r="D483">
        <v>0</v>
      </c>
      <c r="E483">
        <v>10</v>
      </c>
      <c r="F483">
        <v>10</v>
      </c>
      <c r="G483">
        <f>D483+E483+F483</f>
        <v>20</v>
      </c>
    </row>
    <row r="484" spans="1:7" x14ac:dyDescent="0.3">
      <c r="A484">
        <v>433200</v>
      </c>
      <c r="B484">
        <v>108</v>
      </c>
      <c r="C484" t="s">
        <v>1975</v>
      </c>
      <c r="D484">
        <v>0</v>
      </c>
      <c r="E484">
        <v>10</v>
      </c>
      <c r="F484">
        <v>10</v>
      </c>
      <c r="G484">
        <f>D484+E484+F484</f>
        <v>20</v>
      </c>
    </row>
    <row r="485" spans="1:7" x14ac:dyDescent="0.3">
      <c r="A485">
        <v>434200</v>
      </c>
      <c r="B485">
        <v>8</v>
      </c>
      <c r="C485" t="s">
        <v>2708</v>
      </c>
      <c r="D485">
        <v>0</v>
      </c>
      <c r="E485">
        <v>10</v>
      </c>
      <c r="F485">
        <v>10</v>
      </c>
      <c r="G485">
        <f>D485+E485+F485</f>
        <v>20</v>
      </c>
    </row>
    <row r="486" spans="1:7" x14ac:dyDescent="0.3">
      <c r="A486">
        <v>435000</v>
      </c>
      <c r="B486">
        <v>3</v>
      </c>
      <c r="C486" t="s">
        <v>2759</v>
      </c>
      <c r="D486">
        <v>0</v>
      </c>
      <c r="E486">
        <v>10</v>
      </c>
      <c r="F486">
        <v>10</v>
      </c>
      <c r="G486">
        <f>D486+E486+F486</f>
        <v>20</v>
      </c>
    </row>
    <row r="487" spans="1:7" x14ac:dyDescent="0.3">
      <c r="A487">
        <v>439100</v>
      </c>
      <c r="B487">
        <v>7</v>
      </c>
      <c r="C487" t="s">
        <v>2863</v>
      </c>
      <c r="D487">
        <v>0</v>
      </c>
      <c r="E487">
        <v>10</v>
      </c>
      <c r="F487">
        <v>10</v>
      </c>
      <c r="G487">
        <f>D487+E487+F487</f>
        <v>20</v>
      </c>
    </row>
    <row r="488" spans="1:7" x14ac:dyDescent="0.3">
      <c r="A488">
        <v>439100</v>
      </c>
      <c r="B488">
        <v>16</v>
      </c>
      <c r="C488" t="s">
        <v>2951</v>
      </c>
      <c r="D488">
        <v>0</v>
      </c>
      <c r="E488">
        <v>10</v>
      </c>
      <c r="F488">
        <v>10</v>
      </c>
      <c r="G488">
        <f>D488+E488+F488</f>
        <v>20</v>
      </c>
    </row>
    <row r="489" spans="1:7" x14ac:dyDescent="0.3">
      <c r="A489">
        <v>439900</v>
      </c>
      <c r="B489">
        <v>9</v>
      </c>
      <c r="C489" t="s">
        <v>3103</v>
      </c>
      <c r="D489">
        <v>0</v>
      </c>
      <c r="E489">
        <v>10</v>
      </c>
      <c r="F489">
        <v>10</v>
      </c>
      <c r="G489">
        <f>D489+E489+F489</f>
        <v>20</v>
      </c>
    </row>
    <row r="490" spans="1:7" x14ac:dyDescent="0.3">
      <c r="A490">
        <v>439900</v>
      </c>
      <c r="B490">
        <v>16</v>
      </c>
      <c r="C490" t="s">
        <v>3108</v>
      </c>
      <c r="D490">
        <v>0</v>
      </c>
      <c r="E490">
        <v>10</v>
      </c>
      <c r="F490">
        <v>10</v>
      </c>
      <c r="G490">
        <f>D490+E490+F490</f>
        <v>20</v>
      </c>
    </row>
    <row r="491" spans="1:7" x14ac:dyDescent="0.3">
      <c r="A491">
        <v>439900</v>
      </c>
      <c r="B491">
        <v>17</v>
      </c>
      <c r="C491" t="s">
        <v>3024</v>
      </c>
      <c r="D491">
        <v>0</v>
      </c>
      <c r="E491">
        <v>10</v>
      </c>
      <c r="F491">
        <v>10</v>
      </c>
      <c r="G491">
        <f>D491+E491+F491</f>
        <v>20</v>
      </c>
    </row>
    <row r="492" spans="1:7" x14ac:dyDescent="0.3">
      <c r="A492">
        <v>439900</v>
      </c>
      <c r="B492">
        <v>20</v>
      </c>
      <c r="C492" t="s">
        <v>3122</v>
      </c>
      <c r="D492">
        <v>0</v>
      </c>
      <c r="E492">
        <v>10</v>
      </c>
      <c r="F492">
        <v>10</v>
      </c>
      <c r="G492">
        <f>D492+E492+F492</f>
        <v>20</v>
      </c>
    </row>
    <row r="493" spans="1:7" x14ac:dyDescent="0.3">
      <c r="A493">
        <v>439900</v>
      </c>
      <c r="B493">
        <v>22</v>
      </c>
      <c r="C493" t="s">
        <v>3052</v>
      </c>
      <c r="D493">
        <v>0</v>
      </c>
      <c r="E493">
        <v>10</v>
      </c>
      <c r="F493">
        <v>10</v>
      </c>
      <c r="G493">
        <f>D493+E493+F493</f>
        <v>20</v>
      </c>
    </row>
    <row r="494" spans="1:7" x14ac:dyDescent="0.3">
      <c r="A494">
        <v>439900</v>
      </c>
      <c r="B494">
        <v>24</v>
      </c>
      <c r="C494" t="s">
        <v>3085</v>
      </c>
      <c r="D494">
        <v>0</v>
      </c>
      <c r="E494">
        <v>10</v>
      </c>
      <c r="F494">
        <v>10</v>
      </c>
      <c r="G494">
        <f>D494+E494+F494</f>
        <v>20</v>
      </c>
    </row>
    <row r="495" spans="1:7" x14ac:dyDescent="0.3">
      <c r="A495">
        <v>681200</v>
      </c>
      <c r="B495">
        <v>3</v>
      </c>
      <c r="C495" t="s">
        <v>3216</v>
      </c>
      <c r="D495">
        <v>0</v>
      </c>
      <c r="E495">
        <v>10</v>
      </c>
      <c r="F495">
        <v>10</v>
      </c>
      <c r="G495">
        <f>D495+E495+F495</f>
        <v>20</v>
      </c>
    </row>
    <row r="496" spans="1:7" x14ac:dyDescent="0.3">
      <c r="A496">
        <v>681200</v>
      </c>
      <c r="B496">
        <v>4</v>
      </c>
      <c r="C496" t="s">
        <v>3194</v>
      </c>
      <c r="D496">
        <v>0</v>
      </c>
      <c r="E496">
        <v>10</v>
      </c>
      <c r="F496">
        <v>10</v>
      </c>
      <c r="G496">
        <f>D496+E496+F496</f>
        <v>20</v>
      </c>
    </row>
    <row r="497" spans="1:7" x14ac:dyDescent="0.3">
      <c r="A497">
        <v>681200</v>
      </c>
      <c r="B497">
        <v>5</v>
      </c>
      <c r="C497" t="s">
        <v>3219</v>
      </c>
      <c r="D497">
        <v>0</v>
      </c>
      <c r="E497">
        <v>10</v>
      </c>
      <c r="F497">
        <v>10</v>
      </c>
      <c r="G497">
        <f>D497+E497+F497</f>
        <v>20</v>
      </c>
    </row>
    <row r="498" spans="1:7" x14ac:dyDescent="0.3">
      <c r="A498">
        <v>681200</v>
      </c>
      <c r="B498">
        <v>9</v>
      </c>
      <c r="C498" t="s">
        <v>3172</v>
      </c>
      <c r="D498">
        <v>0</v>
      </c>
      <c r="E498">
        <v>10</v>
      </c>
      <c r="F498">
        <v>10</v>
      </c>
      <c r="G498">
        <f>D498+E498+F498</f>
        <v>20</v>
      </c>
    </row>
    <row r="499" spans="1:7" x14ac:dyDescent="0.3">
      <c r="A499">
        <v>681200</v>
      </c>
      <c r="B499">
        <v>11</v>
      </c>
      <c r="C499" t="s">
        <v>3208</v>
      </c>
      <c r="D499">
        <v>0</v>
      </c>
      <c r="E499">
        <v>10</v>
      </c>
      <c r="F499">
        <v>10</v>
      </c>
      <c r="G499">
        <f>D499+E499+F499</f>
        <v>20</v>
      </c>
    </row>
    <row r="500" spans="1:7" x14ac:dyDescent="0.3">
      <c r="A500">
        <v>711290</v>
      </c>
      <c r="B500">
        <v>5</v>
      </c>
      <c r="C500" t="s">
        <v>3545</v>
      </c>
      <c r="D500">
        <v>0</v>
      </c>
      <c r="E500">
        <v>10</v>
      </c>
      <c r="F500">
        <v>10</v>
      </c>
      <c r="G500">
        <f>D500+E500+F500</f>
        <v>20</v>
      </c>
    </row>
    <row r="501" spans="1:7" x14ac:dyDescent="0.3">
      <c r="A501">
        <v>711290</v>
      </c>
      <c r="B501">
        <v>7</v>
      </c>
      <c r="C501" t="s">
        <v>3518</v>
      </c>
      <c r="D501">
        <v>0</v>
      </c>
      <c r="E501">
        <v>10</v>
      </c>
      <c r="F501">
        <v>10</v>
      </c>
      <c r="G501">
        <f>D501+E501+F501</f>
        <v>20</v>
      </c>
    </row>
    <row r="502" spans="1:7" x14ac:dyDescent="0.3">
      <c r="A502">
        <v>711290</v>
      </c>
      <c r="B502">
        <v>8</v>
      </c>
      <c r="C502" t="s">
        <v>3529</v>
      </c>
      <c r="D502">
        <v>0</v>
      </c>
      <c r="E502">
        <v>10</v>
      </c>
      <c r="F502">
        <v>10</v>
      </c>
      <c r="G502">
        <f>D502+E502+F502</f>
        <v>20</v>
      </c>
    </row>
    <row r="503" spans="1:7" x14ac:dyDescent="0.3">
      <c r="A503">
        <v>711290</v>
      </c>
      <c r="B503">
        <v>9</v>
      </c>
      <c r="C503" t="s">
        <v>3512</v>
      </c>
      <c r="D503">
        <v>0</v>
      </c>
      <c r="E503">
        <v>10</v>
      </c>
      <c r="F503">
        <v>10</v>
      </c>
      <c r="G503">
        <f>D503+E503+F503</f>
        <v>20</v>
      </c>
    </row>
    <row r="504" spans="1:7" x14ac:dyDescent="0.3">
      <c r="A504">
        <v>410000</v>
      </c>
      <c r="B504">
        <v>4</v>
      </c>
      <c r="C504" t="s">
        <v>19</v>
      </c>
      <c r="D504">
        <v>0</v>
      </c>
      <c r="E504">
        <v>10</v>
      </c>
      <c r="F504">
        <v>5</v>
      </c>
      <c r="G504">
        <f>D504+E504+F504</f>
        <v>15</v>
      </c>
    </row>
  </sheetData>
  <sortState xmlns:xlrd2="http://schemas.microsoft.com/office/spreadsheetml/2017/richdata2" ref="A2:G504">
    <sortCondition descending="1" ref="G2:G504"/>
  </sortState>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24"/>
  <dimension ref="A1:G1"/>
  <sheetViews>
    <sheetView workbookViewId="0"/>
  </sheetViews>
  <sheetFormatPr defaultRowHeight="14.4" x14ac:dyDescent="0.3"/>
  <sheetData>
    <row r="1" spans="1:7" x14ac:dyDescent="0.3">
      <c r="A1" s="1" t="s">
        <v>1</v>
      </c>
      <c r="B1" s="1" t="s">
        <v>2</v>
      </c>
      <c r="C1" s="1" t="s">
        <v>3</v>
      </c>
      <c r="D1" s="1" t="s">
        <v>4</v>
      </c>
      <c r="E1" s="1" t="s">
        <v>12</v>
      </c>
      <c r="F1" s="1" t="s">
        <v>13</v>
      </c>
      <c r="G1" s="1" t="s">
        <v>14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Ark25"/>
  <dimension ref="A1:E17"/>
  <sheetViews>
    <sheetView workbookViewId="0"/>
  </sheetViews>
  <sheetFormatPr defaultRowHeight="14.4" x14ac:dyDescent="0.3"/>
  <cols>
    <col min="1" max="1" width="37.88671875" bestFit="1" customWidth="1"/>
    <col min="2" max="2" width="26.109375" bestFit="1" customWidth="1"/>
    <col min="3" max="3" width="18" bestFit="1" customWidth="1"/>
    <col min="4" max="4" width="21.5546875" bestFit="1" customWidth="1"/>
    <col min="5" max="5" width="12.5546875" bestFit="1" customWidth="1"/>
  </cols>
  <sheetData>
    <row r="1" spans="1:5" x14ac:dyDescent="0.3">
      <c r="A1" s="1" t="s">
        <v>723</v>
      </c>
      <c r="B1" s="1" t="s">
        <v>724</v>
      </c>
      <c r="C1" s="1" t="s">
        <v>726</v>
      </c>
      <c r="D1" s="1" t="s">
        <v>728</v>
      </c>
      <c r="E1" s="1" t="s">
        <v>730</v>
      </c>
    </row>
    <row r="2" spans="1:5" x14ac:dyDescent="0.3">
      <c r="A2" t="s">
        <v>18</v>
      </c>
      <c r="B2" t="s">
        <v>725</v>
      </c>
      <c r="C2" t="s">
        <v>727</v>
      </c>
      <c r="D2" t="s">
        <v>729</v>
      </c>
      <c r="E2" t="s">
        <v>731</v>
      </c>
    </row>
    <row r="17" spans="1:1" x14ac:dyDescent="0.3">
      <c r="A17" s="2" t="s">
        <v>15</v>
      </c>
    </row>
  </sheetData>
  <hyperlinks>
    <hyperlink ref="A17" r:id="rId1" xr:uid="{00000000-0004-0000-03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27</vt:i4>
      </vt:variant>
    </vt:vector>
  </HeadingPairs>
  <TitlesOfParts>
    <vt:vector size="27" baseType="lpstr">
      <vt:lpstr>Ark2</vt:lpstr>
      <vt:lpstr>Forside</vt:lpstr>
      <vt:lpstr>P-enheder</vt:lpstr>
      <vt:lpstr>410000</vt:lpstr>
      <vt:lpstr>421100</vt:lpstr>
      <vt:lpstr>422100</vt:lpstr>
      <vt:lpstr>429900</vt:lpstr>
      <vt:lpstr>431100</vt:lpstr>
      <vt:lpstr>431200</vt:lpstr>
      <vt:lpstr>432200</vt:lpstr>
      <vt:lpstr>433200</vt:lpstr>
      <vt:lpstr>433300</vt:lpstr>
      <vt:lpstr>434200</vt:lpstr>
      <vt:lpstr>435000</vt:lpstr>
      <vt:lpstr>439100</vt:lpstr>
      <vt:lpstr>439900</vt:lpstr>
      <vt:lpstr>681200</vt:lpstr>
      <vt:lpstr>711210</vt:lpstr>
      <vt:lpstr>(711230)</vt:lpstr>
      <vt:lpstr>711240</vt:lpstr>
      <vt:lpstr>711290</vt:lpstr>
      <vt:lpstr>813000</vt:lpstr>
      <vt:lpstr>(913000)</vt:lpstr>
      <vt:lpstr>Sheet1</vt:lpstr>
      <vt:lpstr>Vægtning</vt:lpstr>
      <vt:lpstr>Personer</vt:lpstr>
      <vt:lpstr>Søgetermer og 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David Fammé</cp:lastModifiedBy>
  <dcterms:created xsi:type="dcterms:W3CDTF">2025-11-03T10:29:25Z</dcterms:created>
  <dcterms:modified xsi:type="dcterms:W3CDTF">2025-11-12T14:26:27Z</dcterms:modified>
</cp:coreProperties>
</file>